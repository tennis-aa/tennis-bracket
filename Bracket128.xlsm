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repos_personal\tennis-bracket\"/>
    </mc:Choice>
  </mc:AlternateContent>
  <xr:revisionPtr revIDLastSave="0" documentId="13_ncr:1_{1CE4B01B-B58F-4BC9-A6C0-A4F8B72A49A7}" xr6:coauthVersionLast="46" xr6:coauthVersionMax="46" xr10:uidLastSave="{00000000-0000-0000-0000-000000000000}"/>
  <bookViews>
    <workbookView xWindow="-110" yWindow="-110" windowWidth="19420" windowHeight="10420" firstSheet="2" activeTab="8" xr2:uid="{F07CF8A1-A950-4352-868D-214BCAB49774}"/>
  </bookViews>
  <sheets>
    <sheet name="NuevoCuadro" sheetId="1" r:id="rId1"/>
    <sheet name="NuevoCuadroDatos" sheetId="2" state="hidden" r:id="rId2"/>
    <sheet name="TablaDePosiciones" sheetId="4" r:id="rId3"/>
    <sheet name="Configuraciones" sheetId="8" r:id="rId4"/>
    <sheet name="VerCuadro" sheetId="13" r:id="rId5"/>
    <sheet name="EntrarResultados" sheetId="7" state="hidden" r:id="rId6"/>
    <sheet name="Resultados" sheetId="5" state="hidden" r:id="rId7"/>
    <sheet name="ResultadosDatos" sheetId="11" state="hidden" r:id="rId8"/>
    <sheet name="ListaCuadros" sheetId="3" r:id="rId9"/>
    <sheet name="ListaPuntos" sheetId="9" state="hidden" r:id="rId10"/>
  </sheets>
  <definedNames>
    <definedName name="_xlnm._FilterDatabase" localSheetId="2" hidden="1">TablaDePosiciones!$C$1:$D$4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C3" i="4"/>
  <c r="D3" i="4"/>
  <c r="A3" i="4" s="1"/>
  <c r="E3" i="4" s="1"/>
  <c r="D2" i="4"/>
  <c r="C2" i="4"/>
  <c r="B2" i="4"/>
  <c r="A3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A1" i="1"/>
  <c r="A2" i="1"/>
  <c r="A2" i="9"/>
  <c r="B2" i="9"/>
  <c r="J2" i="13"/>
  <c r="P95" i="13"/>
  <c r="P94" i="13"/>
  <c r="P92" i="13"/>
  <c r="P91" i="13"/>
  <c r="P89" i="13"/>
  <c r="P88" i="13"/>
  <c r="P86" i="13"/>
  <c r="P85" i="13"/>
  <c r="P83" i="13"/>
  <c r="P82" i="13"/>
  <c r="P80" i="13"/>
  <c r="P79" i="13"/>
  <c r="P77" i="13"/>
  <c r="P76" i="13"/>
  <c r="P74" i="13"/>
  <c r="P73" i="13"/>
  <c r="P71" i="13"/>
  <c r="P70" i="13"/>
  <c r="P68" i="13"/>
  <c r="P67" i="13"/>
  <c r="P65" i="13"/>
  <c r="P64" i="13"/>
  <c r="P62" i="13"/>
  <c r="P61" i="13"/>
  <c r="P59" i="13"/>
  <c r="P58" i="13"/>
  <c r="P56" i="13"/>
  <c r="P55" i="13"/>
  <c r="P53" i="13"/>
  <c r="P52" i="13"/>
  <c r="P50" i="13"/>
  <c r="P49" i="13"/>
  <c r="P47" i="13"/>
  <c r="P46" i="13"/>
  <c r="P44" i="13"/>
  <c r="P43" i="13"/>
  <c r="P41" i="13"/>
  <c r="P40" i="13"/>
  <c r="P38" i="13"/>
  <c r="P37" i="13"/>
  <c r="P35" i="13"/>
  <c r="P34" i="13"/>
  <c r="P32" i="13"/>
  <c r="P31" i="13"/>
  <c r="P29" i="13"/>
  <c r="P28" i="13"/>
  <c r="P26" i="13"/>
  <c r="P25" i="13"/>
  <c r="P23" i="13"/>
  <c r="P22" i="13"/>
  <c r="P20" i="13"/>
  <c r="P19" i="13"/>
  <c r="P17" i="13"/>
  <c r="P16" i="13"/>
  <c r="P14" i="13"/>
  <c r="P13" i="13"/>
  <c r="P11" i="13"/>
  <c r="P10" i="13"/>
  <c r="P8" i="13"/>
  <c r="P7" i="13"/>
  <c r="P5" i="13"/>
  <c r="P4" i="13"/>
  <c r="P2" i="13"/>
  <c r="P1" i="13"/>
  <c r="A95" i="13"/>
  <c r="A94" i="13"/>
  <c r="A92" i="13"/>
  <c r="A91" i="13"/>
  <c r="A89" i="13"/>
  <c r="A88" i="13"/>
  <c r="A86" i="13"/>
  <c r="A85" i="13"/>
  <c r="A83" i="13"/>
  <c r="A82" i="13"/>
  <c r="A80" i="13"/>
  <c r="A79" i="13"/>
  <c r="A77" i="13"/>
  <c r="A76" i="13"/>
  <c r="A74" i="13"/>
  <c r="A73" i="13"/>
  <c r="A71" i="13"/>
  <c r="A70" i="13"/>
  <c r="A68" i="13"/>
  <c r="A67" i="13"/>
  <c r="A65" i="13"/>
  <c r="A64" i="13"/>
  <c r="A62" i="13"/>
  <c r="A61" i="13"/>
  <c r="A59" i="13"/>
  <c r="A58" i="13"/>
  <c r="A56" i="13"/>
  <c r="A55" i="13"/>
  <c r="A53" i="13"/>
  <c r="A52" i="13"/>
  <c r="A50" i="13"/>
  <c r="A49" i="13"/>
  <c r="A47" i="13"/>
  <c r="A46" i="13"/>
  <c r="A44" i="13"/>
  <c r="A43" i="13"/>
  <c r="A41" i="13"/>
  <c r="A40" i="13"/>
  <c r="A38" i="13"/>
  <c r="A37" i="13"/>
  <c r="A35" i="13"/>
  <c r="A34" i="13"/>
  <c r="A32" i="13"/>
  <c r="A31" i="13"/>
  <c r="A29" i="13"/>
  <c r="A28" i="13"/>
  <c r="A26" i="13"/>
  <c r="A25" i="13"/>
  <c r="A23" i="13"/>
  <c r="A22" i="13"/>
  <c r="A20" i="13"/>
  <c r="A19" i="13"/>
  <c r="A17" i="13"/>
  <c r="A16" i="13"/>
  <c r="A14" i="13"/>
  <c r="A13" i="13"/>
  <c r="A11" i="13"/>
  <c r="A10" i="13"/>
  <c r="A8" i="13"/>
  <c r="A7" i="13"/>
  <c r="A5" i="13"/>
  <c r="A4" i="13"/>
  <c r="A2" i="13"/>
  <c r="A1" i="13"/>
  <c r="L12" i="13"/>
  <c r="D54" i="13"/>
  <c r="N27" i="13"/>
  <c r="C27" i="13"/>
  <c r="O26" i="13"/>
  <c r="B26" i="13"/>
  <c r="D90" i="13"/>
  <c r="C45" i="13"/>
  <c r="O22" i="13"/>
  <c r="B34" i="13"/>
  <c r="C63" i="13"/>
  <c r="B92" i="13"/>
  <c r="H45" i="13"/>
  <c r="M78" i="13"/>
  <c r="N39" i="13"/>
  <c r="B44" i="13"/>
  <c r="L36" i="13"/>
  <c r="D66" i="13"/>
  <c r="N33" i="13"/>
  <c r="C33" i="13"/>
  <c r="O64" i="13"/>
  <c r="O16" i="13"/>
  <c r="B64" i="13"/>
  <c r="B16" i="13"/>
  <c r="O38" i="13"/>
  <c r="B38" i="13"/>
  <c r="D42" i="13"/>
  <c r="C21" i="13"/>
  <c r="O10" i="13"/>
  <c r="N87" i="13"/>
  <c r="O44" i="13"/>
  <c r="B20" i="13"/>
  <c r="E12" i="13"/>
  <c r="D6" i="13"/>
  <c r="N3" i="13"/>
  <c r="C3" i="13"/>
  <c r="O2" i="13"/>
  <c r="B2" i="13"/>
  <c r="N93" i="13"/>
  <c r="O94" i="13"/>
  <c r="B94" i="13"/>
  <c r="B10" i="13"/>
  <c r="O92" i="13"/>
  <c r="B68" i="13"/>
  <c r="K33" i="13"/>
  <c r="M30" i="13"/>
  <c r="C39" i="13"/>
  <c r="B8" i="13"/>
  <c r="E36" i="13"/>
  <c r="D18" i="13"/>
  <c r="N9" i="13"/>
  <c r="C9" i="13"/>
  <c r="O52" i="13"/>
  <c r="O4" i="13"/>
  <c r="B52" i="13"/>
  <c r="B4" i="13"/>
  <c r="O14" i="13"/>
  <c r="B14" i="13"/>
  <c r="N69" i="13"/>
  <c r="O82" i="13"/>
  <c r="B82" i="13"/>
  <c r="N15" i="13"/>
  <c r="O20" i="13"/>
  <c r="G48" i="13"/>
  <c r="M54" i="13"/>
  <c r="N75" i="13"/>
  <c r="C75" i="13"/>
  <c r="O74" i="13"/>
  <c r="B74" i="13"/>
  <c r="E84" i="13"/>
  <c r="N45" i="13"/>
  <c r="O70" i="13"/>
  <c r="B70" i="13"/>
  <c r="N63" i="13"/>
  <c r="O56" i="13"/>
  <c r="B32" i="13"/>
  <c r="L60" i="13"/>
  <c r="D78" i="13"/>
  <c r="O68" i="13"/>
  <c r="J48" i="13"/>
  <c r="M66" i="13"/>
  <c r="N81" i="13"/>
  <c r="C81" i="13"/>
  <c r="O88" i="13"/>
  <c r="O40" i="13"/>
  <c r="B88" i="13"/>
  <c r="B40" i="13"/>
  <c r="O86" i="13"/>
  <c r="B86" i="13"/>
  <c r="L84" i="13"/>
  <c r="N21" i="13"/>
  <c r="O58" i="13"/>
  <c r="B58" i="13"/>
  <c r="C15" i="13"/>
  <c r="B80" i="13"/>
  <c r="F33" i="13"/>
  <c r="M6" i="13"/>
  <c r="N51" i="13"/>
  <c r="C51" i="13"/>
  <c r="O50" i="13"/>
  <c r="B50" i="13"/>
  <c r="M90" i="13"/>
  <c r="C93" i="13"/>
  <c r="O46" i="13"/>
  <c r="B46" i="13"/>
  <c r="C87" i="13"/>
  <c r="O32" i="13"/>
  <c r="K69" i="13"/>
  <c r="E60" i="13"/>
  <c r="D30" i="13"/>
  <c r="O8" i="13"/>
  <c r="F69" i="13"/>
  <c r="M18" i="13"/>
  <c r="N57" i="13"/>
  <c r="C57" i="13"/>
  <c r="O76" i="13"/>
  <c r="O28" i="13"/>
  <c r="B76" i="13"/>
  <c r="B28" i="13"/>
  <c r="O62" i="13"/>
  <c r="B62" i="13"/>
  <c r="M42" i="13"/>
  <c r="C69" i="13"/>
  <c r="O34" i="13"/>
  <c r="B22" i="13"/>
  <c r="O80" i="13"/>
  <c r="B56" i="13"/>
  <c r="A2" i="4" l="1"/>
  <c r="E2" i="4" s="1"/>
  <c r="A2" i="7"/>
  <c r="A1" i="7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" i="2"/>
  <c r="DY1" i="11" l="1"/>
  <c r="DY2" i="9" s="1"/>
  <c r="DX1" i="11"/>
  <c r="DX2" i="9" s="1"/>
  <c r="DW1" i="11"/>
  <c r="DW2" i="9" s="1"/>
  <c r="DV1" i="11"/>
  <c r="DV2" i="9" s="1"/>
  <c r="DU1" i="11"/>
  <c r="DU2" i="9" s="1"/>
  <c r="DT1" i="11"/>
  <c r="DT2" i="9" s="1"/>
  <c r="DS1" i="11"/>
  <c r="DS2" i="9" s="1"/>
  <c r="DR1" i="11"/>
  <c r="DR2" i="9" s="1"/>
  <c r="DQ1" i="11"/>
  <c r="DQ2" i="9" s="1"/>
  <c r="DP1" i="11"/>
  <c r="DP2" i="9" s="1"/>
  <c r="DO1" i="11"/>
  <c r="DO2" i="9" s="1"/>
  <c r="DN1" i="11"/>
  <c r="DN2" i="9" s="1"/>
  <c r="DM1" i="11"/>
  <c r="DM2" i="9" s="1"/>
  <c r="DL1" i="11"/>
  <c r="DL2" i="9" s="1"/>
  <c r="DK1" i="11"/>
  <c r="DK2" i="9" s="1"/>
  <c r="DJ1" i="11"/>
  <c r="DJ2" i="9" s="1"/>
  <c r="DI1" i="11"/>
  <c r="DI2" i="9" s="1"/>
  <c r="DH1" i="11"/>
  <c r="DH2" i="9" s="1"/>
  <c r="DG1" i="11"/>
  <c r="DG2" i="9" s="1"/>
  <c r="DF1" i="11"/>
  <c r="DF2" i="9" s="1"/>
  <c r="DE1" i="11"/>
  <c r="DE2" i="9" s="1"/>
  <c r="DD1" i="11"/>
  <c r="DD2" i="9" s="1"/>
  <c r="DC1" i="11"/>
  <c r="DC2" i="9" s="1"/>
  <c r="DB1" i="11"/>
  <c r="DB2" i="9" s="1"/>
  <c r="DA1" i="11"/>
  <c r="DA2" i="9" s="1"/>
  <c r="CZ1" i="11"/>
  <c r="CZ2" i="9" s="1"/>
  <c r="CY1" i="11"/>
  <c r="CY2" i="9" s="1"/>
  <c r="CX1" i="11"/>
  <c r="CX2" i="9" s="1"/>
  <c r="CW1" i="11"/>
  <c r="CW2" i="9" s="1"/>
  <c r="CV1" i="11"/>
  <c r="CV2" i="9" s="1"/>
  <c r="CU1" i="11"/>
  <c r="CU2" i="9" s="1"/>
  <c r="CT1" i="11"/>
  <c r="CT2" i="9" s="1"/>
  <c r="CS1" i="11"/>
  <c r="CS2" i="9" s="1"/>
  <c r="CR1" i="11"/>
  <c r="CR2" i="9" s="1"/>
  <c r="CQ1" i="11"/>
  <c r="CQ2" i="9" s="1"/>
  <c r="CP1" i="11"/>
  <c r="CP2" i="9" s="1"/>
  <c r="CO1" i="11"/>
  <c r="CO2" i="9" s="1"/>
  <c r="CN1" i="11"/>
  <c r="CN2" i="9" s="1"/>
  <c r="CM1" i="11"/>
  <c r="CM2" i="9" s="1"/>
  <c r="CL1" i="11"/>
  <c r="CL2" i="9" s="1"/>
  <c r="CK1" i="11"/>
  <c r="CK2" i="9" s="1"/>
  <c r="CJ1" i="11"/>
  <c r="CJ2" i="9" s="1"/>
  <c r="CI1" i="11"/>
  <c r="CI2" i="9" s="1"/>
  <c r="CH1" i="11"/>
  <c r="CH2" i="9" s="1"/>
  <c r="CG1" i="11"/>
  <c r="CG2" i="9" s="1"/>
  <c r="CF1" i="11"/>
  <c r="CF2" i="9" s="1"/>
  <c r="CE1" i="11"/>
  <c r="CE2" i="9" s="1"/>
  <c r="BL1" i="11"/>
  <c r="BL2" i="9" s="1"/>
  <c r="BK1" i="11"/>
  <c r="BK2" i="9" s="1"/>
  <c r="AJ1" i="11"/>
  <c r="AJ2" i="9" s="1"/>
  <c r="AI1" i="11"/>
  <c r="AI2" i="9" s="1"/>
  <c r="E1" i="11"/>
  <c r="E2" i="9" s="1"/>
  <c r="BN1" i="11"/>
  <c r="BN2" i="9" s="1"/>
  <c r="BM1" i="11"/>
  <c r="BM2" i="9" s="1"/>
  <c r="BJ1" i="11"/>
  <c r="BJ2" i="9" s="1"/>
  <c r="BI1" i="11"/>
  <c r="BI2" i="9" s="1"/>
  <c r="BH1" i="11"/>
  <c r="BH2" i="9" s="1"/>
  <c r="BG1" i="11"/>
  <c r="BG2" i="9" s="1"/>
  <c r="BF1" i="11"/>
  <c r="BF2" i="9" s="1"/>
  <c r="BE1" i="11"/>
  <c r="BE2" i="9" s="1"/>
  <c r="BD1" i="11"/>
  <c r="BD2" i="9" s="1"/>
  <c r="BC1" i="11"/>
  <c r="BC2" i="9" s="1"/>
  <c r="BB1" i="11"/>
  <c r="BB2" i="9" s="1"/>
  <c r="BA1" i="11"/>
  <c r="BA2" i="9" s="1"/>
  <c r="AZ1" i="11"/>
  <c r="AZ2" i="9" s="1"/>
  <c r="AY1" i="11"/>
  <c r="AY2" i="9" s="1"/>
  <c r="AX1" i="11"/>
  <c r="AX2" i="9" s="1"/>
  <c r="AW1" i="11"/>
  <c r="AW2" i="9" s="1"/>
  <c r="AV1" i="11"/>
  <c r="AV2" i="9" s="1"/>
  <c r="AU1" i="11"/>
  <c r="AU2" i="9" s="1"/>
  <c r="AT1" i="11"/>
  <c r="AT2" i="9" s="1"/>
  <c r="AS1" i="11"/>
  <c r="AS2" i="9" s="1"/>
  <c r="AR1" i="11"/>
  <c r="AR2" i="9" s="1"/>
  <c r="AQ1" i="11"/>
  <c r="AQ2" i="9" s="1"/>
  <c r="AP1" i="11"/>
  <c r="AP2" i="9" s="1"/>
  <c r="AO1" i="11"/>
  <c r="AO2" i="9" s="1"/>
  <c r="AN1" i="11"/>
  <c r="AN2" i="9" s="1"/>
  <c r="AM1" i="11"/>
  <c r="AM2" i="9" s="1"/>
  <c r="AL1" i="11"/>
  <c r="AL2" i="9" s="1"/>
  <c r="AK1" i="11"/>
  <c r="AK2" i="9" s="1"/>
  <c r="AH1" i="11"/>
  <c r="AH2" i="9" s="1"/>
  <c r="AG1" i="11"/>
  <c r="AG2" i="9" s="1"/>
  <c r="AF1" i="11"/>
  <c r="AF2" i="9" s="1"/>
  <c r="AE1" i="11"/>
  <c r="AE2" i="9" s="1"/>
  <c r="AD1" i="11"/>
  <c r="AD2" i="9" s="1"/>
  <c r="AC1" i="11"/>
  <c r="AC2" i="9" s="1"/>
  <c r="AB1" i="11"/>
  <c r="AB2" i="9" s="1"/>
  <c r="AA1" i="11"/>
  <c r="AA2" i="9" s="1"/>
  <c r="Z1" i="11"/>
  <c r="Z2" i="9" s="1"/>
  <c r="Y1" i="11"/>
  <c r="Y2" i="9" s="1"/>
  <c r="X1" i="11"/>
  <c r="X2" i="9" s="1"/>
  <c r="W1" i="11"/>
  <c r="W2" i="9" s="1"/>
  <c r="V1" i="11"/>
  <c r="V2" i="9" s="1"/>
  <c r="U1" i="11"/>
  <c r="U2" i="9" s="1"/>
  <c r="T1" i="11"/>
  <c r="T2" i="9" s="1"/>
  <c r="S1" i="11"/>
  <c r="S2" i="9" s="1"/>
  <c r="CD1" i="11"/>
  <c r="CD2" i="9" s="1"/>
  <c r="R1" i="11"/>
  <c r="R2" i="9" s="1"/>
  <c r="CC1" i="11"/>
  <c r="CC2" i="9" s="1"/>
  <c r="Q1" i="11"/>
  <c r="Q2" i="9" s="1"/>
  <c r="CB1" i="11"/>
  <c r="CB2" i="9" s="1"/>
  <c r="P1" i="11"/>
  <c r="P2" i="9" s="1"/>
  <c r="CA1" i="11"/>
  <c r="CA2" i="9" s="1"/>
  <c r="O1" i="11"/>
  <c r="O2" i="9" s="1"/>
  <c r="BZ1" i="11"/>
  <c r="BZ2" i="9" s="1"/>
  <c r="N1" i="11"/>
  <c r="N2" i="9" s="1"/>
  <c r="BY1" i="11"/>
  <c r="BY2" i="9" s="1"/>
  <c r="M1" i="11"/>
  <c r="M2" i="9" s="1"/>
  <c r="BX1" i="11"/>
  <c r="BX2" i="9" s="1"/>
  <c r="L1" i="11"/>
  <c r="L2" i="9" s="1"/>
  <c r="BW1" i="11"/>
  <c r="BW2" i="9" s="1"/>
  <c r="K1" i="11"/>
  <c r="K2" i="9" s="1"/>
  <c r="BV1" i="11"/>
  <c r="BV2" i="9" s="1"/>
  <c r="J1" i="11"/>
  <c r="J2" i="9" s="1"/>
  <c r="BU1" i="11"/>
  <c r="BU2" i="9" s="1"/>
  <c r="I1" i="11"/>
  <c r="I2" i="9" s="1"/>
  <c r="BT1" i="11"/>
  <c r="BT2" i="9" s="1"/>
  <c r="H1" i="11"/>
  <c r="H2" i="9" s="1"/>
  <c r="BS1" i="11"/>
  <c r="BS2" i="9" s="1"/>
  <c r="G1" i="11"/>
  <c r="G2" i="9" s="1"/>
  <c r="BR1" i="11"/>
  <c r="BR2" i="9" s="1"/>
  <c r="F1" i="11"/>
  <c r="F2" i="9" s="1"/>
  <c r="BQ1" i="11"/>
  <c r="BQ2" i="9" s="1"/>
  <c r="BP1" i="11"/>
  <c r="BP2" i="9" s="1"/>
  <c r="D1" i="11"/>
  <c r="D2" i="9" s="1"/>
  <c r="BO1" i="11"/>
  <c r="BO2" i="9" s="1"/>
  <c r="C1" i="11"/>
  <c r="C2" i="9" s="1"/>
  <c r="DZ2" i="9" l="1"/>
  <c r="P95" i="7"/>
  <c r="A95" i="7"/>
  <c r="P94" i="7"/>
  <c r="A94" i="7"/>
  <c r="P92" i="7"/>
  <c r="A92" i="7"/>
  <c r="P91" i="7"/>
  <c r="A91" i="7"/>
  <c r="P89" i="7"/>
  <c r="A89" i="7"/>
  <c r="P88" i="7"/>
  <c r="A88" i="7"/>
  <c r="P86" i="7"/>
  <c r="A86" i="7"/>
  <c r="P85" i="7"/>
  <c r="A85" i="7"/>
  <c r="P83" i="7"/>
  <c r="A83" i="7"/>
  <c r="P82" i="7"/>
  <c r="A82" i="7"/>
  <c r="P80" i="7"/>
  <c r="A80" i="7"/>
  <c r="P79" i="7"/>
  <c r="A79" i="7"/>
  <c r="P77" i="7"/>
  <c r="A77" i="7"/>
  <c r="P76" i="7"/>
  <c r="A76" i="7"/>
  <c r="P74" i="7"/>
  <c r="A74" i="7"/>
  <c r="P73" i="7"/>
  <c r="A73" i="7"/>
  <c r="P71" i="7"/>
  <c r="A71" i="7"/>
  <c r="P70" i="7"/>
  <c r="A70" i="7"/>
  <c r="P68" i="7"/>
  <c r="A68" i="7"/>
  <c r="P67" i="7"/>
  <c r="A67" i="7"/>
  <c r="P65" i="7"/>
  <c r="A65" i="7"/>
  <c r="P64" i="7"/>
  <c r="A64" i="7"/>
  <c r="P62" i="7"/>
  <c r="A62" i="7"/>
  <c r="P61" i="7"/>
  <c r="A61" i="7"/>
  <c r="P59" i="7"/>
  <c r="A59" i="7"/>
  <c r="P58" i="7"/>
  <c r="A58" i="7"/>
  <c r="P56" i="7"/>
  <c r="A56" i="7"/>
  <c r="P55" i="7"/>
  <c r="A55" i="7"/>
  <c r="P53" i="7"/>
  <c r="A53" i="7"/>
  <c r="P52" i="7"/>
  <c r="A52" i="7"/>
  <c r="P50" i="7"/>
  <c r="A50" i="7"/>
  <c r="P49" i="7"/>
  <c r="A49" i="7"/>
  <c r="P47" i="7"/>
  <c r="A47" i="7"/>
  <c r="P46" i="7"/>
  <c r="A46" i="7"/>
  <c r="P44" i="7"/>
  <c r="A44" i="7"/>
  <c r="P43" i="7"/>
  <c r="A43" i="7"/>
  <c r="P41" i="7"/>
  <c r="A41" i="7"/>
  <c r="P40" i="7"/>
  <c r="A40" i="7"/>
  <c r="P38" i="7"/>
  <c r="A38" i="7"/>
  <c r="P37" i="7"/>
  <c r="A37" i="7"/>
  <c r="P35" i="7"/>
  <c r="A35" i="7"/>
  <c r="P34" i="7"/>
  <c r="A34" i="7"/>
  <c r="P32" i="7"/>
  <c r="A32" i="7"/>
  <c r="P31" i="7"/>
  <c r="A31" i="7"/>
  <c r="P29" i="7"/>
  <c r="A29" i="7"/>
  <c r="P28" i="7"/>
  <c r="A28" i="7"/>
  <c r="P26" i="7"/>
  <c r="A26" i="7"/>
  <c r="P25" i="7"/>
  <c r="A25" i="7"/>
  <c r="P23" i="7"/>
  <c r="A23" i="7"/>
  <c r="P22" i="7"/>
  <c r="A22" i="7"/>
  <c r="P20" i="7"/>
  <c r="A20" i="7"/>
  <c r="P19" i="7"/>
  <c r="A19" i="7"/>
  <c r="P17" i="7"/>
  <c r="A17" i="7"/>
  <c r="P16" i="7"/>
  <c r="A16" i="7"/>
  <c r="P14" i="7"/>
  <c r="A14" i="7"/>
  <c r="P13" i="7"/>
  <c r="A13" i="7"/>
  <c r="P11" i="7"/>
  <c r="A11" i="7"/>
  <c r="P10" i="7"/>
  <c r="A10" i="7"/>
  <c r="P8" i="7"/>
  <c r="A8" i="7"/>
  <c r="P7" i="7"/>
  <c r="A7" i="7"/>
  <c r="P5" i="7"/>
  <c r="A5" i="7"/>
  <c r="P4" i="7"/>
  <c r="A4" i="7"/>
  <c r="P2" i="7"/>
  <c r="P1" i="7"/>
  <c r="I1" i="2" l="1"/>
  <c r="H1" i="2"/>
  <c r="G2" i="2"/>
  <c r="G1" i="2"/>
  <c r="F4" i="2"/>
  <c r="F3" i="2"/>
  <c r="F2" i="2"/>
  <c r="F1" i="2"/>
  <c r="E8" i="2"/>
  <c r="E7" i="2"/>
  <c r="E6" i="2"/>
  <c r="E5" i="2"/>
  <c r="E4" i="2"/>
  <c r="E3" i="2"/>
  <c r="E2" i="2"/>
  <c r="E1" i="2"/>
  <c r="D10" i="2"/>
  <c r="D9" i="2"/>
  <c r="D16" i="2"/>
  <c r="D15" i="2"/>
  <c r="D14" i="2"/>
  <c r="D13" i="2"/>
  <c r="D12" i="2"/>
  <c r="D11" i="2"/>
  <c r="D8" i="2"/>
  <c r="D7" i="2"/>
  <c r="D6" i="2"/>
  <c r="D5" i="2"/>
  <c r="D4" i="2"/>
  <c r="D3" i="2"/>
  <c r="D2" i="2"/>
  <c r="D1" i="2"/>
  <c r="C17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P95" i="1"/>
  <c r="P94" i="1"/>
  <c r="P92" i="1"/>
  <c r="P91" i="1"/>
  <c r="P89" i="1"/>
  <c r="P88" i="1"/>
  <c r="P86" i="1"/>
  <c r="P85" i="1"/>
  <c r="P83" i="1"/>
  <c r="P82" i="1"/>
  <c r="P80" i="1"/>
  <c r="P79" i="1"/>
  <c r="P77" i="1"/>
  <c r="P76" i="1"/>
  <c r="P74" i="1"/>
  <c r="P73" i="1"/>
  <c r="P71" i="1"/>
  <c r="P70" i="1"/>
  <c r="P68" i="1"/>
  <c r="P67" i="1"/>
  <c r="P65" i="1"/>
  <c r="P64" i="1"/>
  <c r="P62" i="1"/>
  <c r="P61" i="1"/>
  <c r="P59" i="1"/>
  <c r="P58" i="1"/>
  <c r="P56" i="1"/>
  <c r="P55" i="1"/>
  <c r="P53" i="1"/>
  <c r="P52" i="1"/>
  <c r="P50" i="1"/>
  <c r="P49" i="1"/>
  <c r="P47" i="1"/>
  <c r="P46" i="1"/>
  <c r="P44" i="1"/>
  <c r="P43" i="1"/>
  <c r="P41" i="1"/>
  <c r="P40" i="1"/>
  <c r="P38" i="1"/>
  <c r="P37" i="1"/>
  <c r="P35" i="1"/>
  <c r="P34" i="1"/>
  <c r="P32" i="1"/>
  <c r="P31" i="1"/>
  <c r="P29" i="1"/>
  <c r="P28" i="1"/>
  <c r="P26" i="1"/>
  <c r="P25" i="1"/>
  <c r="P23" i="1"/>
  <c r="P22" i="1"/>
  <c r="P20" i="1"/>
  <c r="P19" i="1"/>
  <c r="P17" i="1"/>
  <c r="P16" i="1"/>
  <c r="P14" i="1"/>
  <c r="P13" i="1"/>
  <c r="P11" i="1"/>
  <c r="P10" i="1"/>
  <c r="P8" i="1"/>
  <c r="P7" i="1"/>
  <c r="P5" i="1"/>
  <c r="P4" i="1"/>
  <c r="P2" i="1"/>
  <c r="P1" i="1"/>
  <c r="A95" i="1" l="1"/>
  <c r="A94" i="1"/>
  <c r="A92" i="1"/>
  <c r="A91" i="1"/>
  <c r="A89" i="1"/>
  <c r="A88" i="1"/>
  <c r="A86" i="1"/>
  <c r="A85" i="1"/>
  <c r="A83" i="1"/>
  <c r="A82" i="1"/>
  <c r="A80" i="1"/>
  <c r="A79" i="1"/>
  <c r="A77" i="1"/>
  <c r="A76" i="1"/>
  <c r="A74" i="1"/>
  <c r="A73" i="1"/>
  <c r="A71" i="1"/>
  <c r="A70" i="1"/>
  <c r="A68" i="1"/>
  <c r="A67" i="1"/>
  <c r="A65" i="1"/>
  <c r="A64" i="1"/>
  <c r="A62" i="1"/>
  <c r="A61" i="1"/>
  <c r="A59" i="1"/>
  <c r="A58" i="1"/>
  <c r="A56" i="1"/>
  <c r="A55" i="1"/>
  <c r="A53" i="1"/>
  <c r="A52" i="1"/>
  <c r="A50" i="1"/>
  <c r="A49" i="1"/>
  <c r="A47" i="1"/>
  <c r="A46" i="1"/>
  <c r="A44" i="1"/>
  <c r="A43" i="1"/>
  <c r="A41" i="1"/>
  <c r="A40" i="1"/>
  <c r="A38" i="1"/>
  <c r="A37" i="1"/>
  <c r="A35" i="1"/>
  <c r="A34" i="1"/>
  <c r="A32" i="1"/>
  <c r="A31" i="1"/>
  <c r="A29" i="1"/>
  <c r="A28" i="1"/>
  <c r="A26" i="1"/>
  <c r="A25" i="1"/>
  <c r="A23" i="1"/>
  <c r="A22" i="1"/>
  <c r="A20" i="1"/>
  <c r="A19" i="1"/>
  <c r="A17" i="1"/>
  <c r="A16" i="1"/>
  <c r="A14" i="1"/>
  <c r="A13" i="1"/>
  <c r="A11" i="1"/>
  <c r="A10" i="1"/>
  <c r="A8" i="1"/>
  <c r="A7" i="1"/>
  <c r="A4" i="1" l="1"/>
  <c r="A5" i="1"/>
</calcChain>
</file>

<file path=xl/sharedStrings.xml><?xml version="1.0" encoding="utf-8"?>
<sst xmlns="http://schemas.openxmlformats.org/spreadsheetml/2006/main" count="18" uniqueCount="14">
  <si>
    <t>Username</t>
  </si>
  <si>
    <t>Picks</t>
  </si>
  <si>
    <t>Entry</t>
  </si>
  <si>
    <t>Posicion</t>
  </si>
  <si>
    <t>Usuario</t>
  </si>
  <si>
    <t>Puntos</t>
  </si>
  <si>
    <t>Relativo</t>
  </si>
  <si>
    <t>Puntos por ronda</t>
  </si>
  <si>
    <t>Points</t>
  </si>
  <si>
    <t>Total Points</t>
  </si>
  <si>
    <t>Numero de jugadores:</t>
  </si>
  <si>
    <t>a</t>
  </si>
  <si>
    <t>user1</t>
  </si>
  <si>
    <t>user2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</si>
</sst>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20"/>
      <color rgb="FF000000"/>
      <name val="Arial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2">
    <xf numFmtId="0" fontId="0" fillId="0" borderId="0" xfId="0"/>
    <xf numFmtId="0" fontId="1" fillId="0" borderId="2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1" fillId="0" borderId="0" xfId="0" applyFont="1" applyProtection="1"/>
    <xf numFmtId="0" fontId="1" fillId="0" borderId="0" xfId="0" applyFont="1" applyProtection="1">
      <protection hidden="1"/>
    </xf>
    <xf numFmtId="0" fontId="1" fillId="0" borderId="0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10" xfId="0" applyFont="1" applyBorder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1" fillId="0" borderId="6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12" xfId="0" applyFont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9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1" fillId="0" borderId="8" xfId="0" applyFont="1" applyBorder="1" applyProtection="1">
      <protection hidden="1"/>
    </xf>
    <xf numFmtId="0" fontId="1" fillId="0" borderId="1" xfId="0" applyFont="1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0" xfId="0" applyFont="1" applyFill="1" applyAlignment="1" applyProtection="1">
      <protection locked="0"/>
    </xf>
    <xf numFmtId="9" fontId="0" fillId="0" borderId="0" xfId="1" applyFont="1"/>
    <xf numFmtId="0" fontId="1" fillId="0" borderId="2" xfId="0" applyFont="1" applyBorder="1"/>
    <xf numFmtId="0" fontId="1" fillId="0" borderId="0" xfId="0" applyFont="1"/>
    <xf numFmtId="0" fontId="1" fillId="0" borderId="10" xfId="0" applyFont="1" applyBorder="1"/>
    <xf numFmtId="0" fontId="1" fillId="0" borderId="8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3" xfId="0" applyFont="1" applyBorder="1"/>
    <xf numFmtId="0" fontId="1" fillId="0" borderId="7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9" xfId="0" applyFont="1" applyBorder="1"/>
    <xf numFmtId="0" fontId="1" fillId="0" borderId="11" xfId="0" applyFont="1" applyBorder="1"/>
    <xf numFmtId="0" fontId="1" fillId="2" borderId="0" xfId="0" applyFont="1" applyFill="1"/>
    <xf numFmtId="0" fontId="1" fillId="0" borderId="1" xfId="0" applyFont="1" applyFill="1" applyBorder="1"/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colors>
    <mruColors>
      <color rgb="FF89A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850900</xdr:colOff>
          <xdr:row>34</xdr:row>
          <xdr:rowOff>203200</xdr:rowOff>
        </xdr:from>
        <xdr:to>
          <xdr:col>7</xdr:col>
          <xdr:colOff>1041400</xdr:colOff>
          <xdr:row>36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209550</xdr:rowOff>
        </xdr:from>
        <xdr:to>
          <xdr:col>9</xdr:col>
          <xdr:colOff>12700</xdr:colOff>
          <xdr:row>36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0</xdr:row>
          <xdr:rowOff>0</xdr:rowOff>
        </xdr:from>
        <xdr:to>
          <xdr:col>6</xdr:col>
          <xdr:colOff>247650</xdr:colOff>
          <xdr:row>2</xdr:row>
          <xdr:rowOff>31750</xdr:rowOff>
        </xdr:to>
        <xdr:sp macro="" textlink="">
          <xdr:nvSpPr>
            <xdr:cNvPr id="6146" name="Button 2" descr="Actualiza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DD818-6697-44F0-98C4-44A75D6A0A30}">
  <sheetPr codeName="Sheet1"/>
  <dimension ref="A1:S96"/>
  <sheetViews>
    <sheetView showGridLines="0" topLeftCell="A31" zoomScale="85" zoomScaleNormal="85" workbookViewId="0">
      <selection activeCell="B43" sqref="B43"/>
    </sheetView>
  </sheetViews>
  <sheetFormatPr defaultColWidth="8.7265625" defaultRowHeight="15.5" x14ac:dyDescent="0.35"/>
  <cols>
    <col min="1" max="1" width="15.54296875" style="4" customWidth="1"/>
    <col min="2" max="15" width="15.54296875" style="7" customWidth="1"/>
    <col min="16" max="16" width="15.54296875" style="5" customWidth="1"/>
    <col min="17" max="19" width="15.54296875" style="7" customWidth="1"/>
    <col min="20" max="16384" width="8.7265625" style="9"/>
  </cols>
  <sheetData>
    <row r="1" spans="1:16" ht="16.5" thickTop="1" thickBot="1" x14ac:dyDescent="0.4">
      <c r="A1" s="1">
        <f>NuevoCuadroDatos!A1</f>
        <v>1</v>
      </c>
      <c r="B1" s="6"/>
      <c r="O1" s="8"/>
      <c r="P1" s="19">
        <f>NuevoCuadroDatos!A65</f>
        <v>65</v>
      </c>
    </row>
    <row r="2" spans="1:16" ht="16.5" thickTop="1" thickBot="1" x14ac:dyDescent="0.4">
      <c r="A2" s="1">
        <f>NuevoCuadroDatos!A2</f>
        <v>2</v>
      </c>
      <c r="B2" s="10"/>
      <c r="O2" s="11"/>
      <c r="P2" s="20">
        <f>NuevoCuadroDatos!A66</f>
        <v>66</v>
      </c>
    </row>
    <row r="3" spans="1:16" ht="16.5" thickTop="1" thickBot="1" x14ac:dyDescent="0.4">
      <c r="A3" s="2"/>
      <c r="B3" s="12"/>
      <c r="C3" s="13"/>
      <c r="M3" s="6"/>
      <c r="N3" s="11"/>
      <c r="P3" s="20"/>
    </row>
    <row r="4" spans="1:16" ht="16.5" thickTop="1" thickBot="1" x14ac:dyDescent="0.4">
      <c r="A4" s="3">
        <f>NuevoCuadroDatos!A3</f>
        <v>3</v>
      </c>
      <c r="B4" s="14"/>
      <c r="C4" s="12"/>
      <c r="M4" s="8"/>
      <c r="N4" s="8"/>
      <c r="O4" s="14"/>
      <c r="P4" s="20">
        <f>NuevoCuadroDatos!A67</f>
        <v>67</v>
      </c>
    </row>
    <row r="5" spans="1:16" ht="16.5" thickTop="1" thickBot="1" x14ac:dyDescent="0.4">
      <c r="A5" s="1">
        <f>NuevoCuadroDatos!A4</f>
        <v>4</v>
      </c>
      <c r="C5" s="8"/>
      <c r="M5" s="8"/>
      <c r="N5" s="6"/>
      <c r="O5" s="12"/>
      <c r="P5" s="20">
        <f>NuevoCuadroDatos!A68</f>
        <v>68</v>
      </c>
    </row>
    <row r="6" spans="1:16" ht="16.5" thickTop="1" thickBot="1" x14ac:dyDescent="0.4">
      <c r="A6" s="2"/>
      <c r="C6" s="8"/>
      <c r="D6" s="13"/>
      <c r="L6" s="6"/>
      <c r="M6" s="11"/>
      <c r="N6" s="6"/>
      <c r="P6" s="20"/>
    </row>
    <row r="7" spans="1:16" ht="16.5" thickTop="1" thickBot="1" x14ac:dyDescent="0.4">
      <c r="A7" s="1">
        <f>NuevoCuadroDatos!A5</f>
        <v>5</v>
      </c>
      <c r="C7" s="8"/>
      <c r="D7" s="12"/>
      <c r="L7" s="8"/>
      <c r="M7" s="15"/>
      <c r="N7" s="6"/>
      <c r="O7" s="8"/>
      <c r="P7" s="20">
        <f>NuevoCuadroDatos!A69</f>
        <v>69</v>
      </c>
    </row>
    <row r="8" spans="1:16" ht="16.5" thickTop="1" thickBot="1" x14ac:dyDescent="0.4">
      <c r="A8" s="1">
        <f>NuevoCuadroDatos!A6</f>
        <v>6</v>
      </c>
      <c r="B8" s="13"/>
      <c r="C8" s="8"/>
      <c r="D8" s="8"/>
      <c r="L8" s="8"/>
      <c r="M8" s="16"/>
      <c r="N8" s="6"/>
      <c r="O8" s="11"/>
      <c r="P8" s="20">
        <f>NuevoCuadroDatos!A70</f>
        <v>70</v>
      </c>
    </row>
    <row r="9" spans="1:16" ht="16.5" thickTop="1" thickBot="1" x14ac:dyDescent="0.4">
      <c r="A9" s="2"/>
      <c r="B9" s="12"/>
      <c r="C9" s="14"/>
      <c r="D9" s="8"/>
      <c r="L9" s="8"/>
      <c r="M9" s="16"/>
      <c r="N9" s="14"/>
      <c r="P9" s="20"/>
    </row>
    <row r="10" spans="1:16" ht="16.5" thickTop="1" thickBot="1" x14ac:dyDescent="0.4">
      <c r="A10" s="1">
        <f>NuevoCuadroDatos!A7</f>
        <v>7</v>
      </c>
      <c r="B10" s="14"/>
      <c r="D10" s="8"/>
      <c r="L10" s="8"/>
      <c r="N10" s="8"/>
      <c r="O10" s="14"/>
      <c r="P10" s="20">
        <f>NuevoCuadroDatos!A71</f>
        <v>71</v>
      </c>
    </row>
    <row r="11" spans="1:16" ht="16.5" thickTop="1" thickBot="1" x14ac:dyDescent="0.4">
      <c r="A11" s="1">
        <f>NuevoCuadroDatos!A8</f>
        <v>8</v>
      </c>
      <c r="D11" s="8"/>
      <c r="L11" s="8"/>
      <c r="O11" s="12"/>
      <c r="P11" s="21">
        <f>NuevoCuadroDatos!A72</f>
        <v>72</v>
      </c>
    </row>
    <row r="12" spans="1:16" ht="16.5" thickTop="1" thickBot="1" x14ac:dyDescent="0.4">
      <c r="A12" s="2"/>
      <c r="D12" s="8"/>
      <c r="E12" s="13"/>
      <c r="L12" s="11"/>
      <c r="P12" s="20"/>
    </row>
    <row r="13" spans="1:16" ht="16.5" thickTop="1" thickBot="1" x14ac:dyDescent="0.4">
      <c r="A13" s="1">
        <f>NuevoCuadroDatos!A9</f>
        <v>9</v>
      </c>
      <c r="D13" s="8"/>
      <c r="E13" s="12"/>
      <c r="K13" s="8"/>
      <c r="L13" s="8"/>
      <c r="O13" s="8"/>
      <c r="P13" s="20">
        <f>NuevoCuadroDatos!A73</f>
        <v>73</v>
      </c>
    </row>
    <row r="14" spans="1:16" ht="16.5" thickTop="1" thickBot="1" x14ac:dyDescent="0.4">
      <c r="A14" s="1">
        <f>NuevoCuadroDatos!A10</f>
        <v>10</v>
      </c>
      <c r="B14" s="13"/>
      <c r="D14" s="8"/>
      <c r="E14" s="8"/>
      <c r="K14" s="8"/>
      <c r="L14" s="8"/>
      <c r="O14" s="11"/>
      <c r="P14" s="20">
        <f>NuevoCuadroDatos!A74</f>
        <v>74</v>
      </c>
    </row>
    <row r="15" spans="1:16" ht="16.5" thickTop="1" thickBot="1" x14ac:dyDescent="0.4">
      <c r="A15" s="2"/>
      <c r="B15" s="12"/>
      <c r="C15" s="13"/>
      <c r="D15" s="8"/>
      <c r="E15" s="8"/>
      <c r="K15" s="8"/>
      <c r="L15" s="8"/>
      <c r="N15" s="11"/>
      <c r="P15" s="20"/>
    </row>
    <row r="16" spans="1:16" ht="16.5" thickTop="1" thickBot="1" x14ac:dyDescent="0.4">
      <c r="A16" s="1">
        <f>NuevoCuadroDatos!A11</f>
        <v>11</v>
      </c>
      <c r="B16" s="14"/>
      <c r="C16" s="12"/>
      <c r="D16" s="8"/>
      <c r="E16" s="8"/>
      <c r="K16" s="8"/>
      <c r="L16" s="8"/>
      <c r="M16" s="8"/>
      <c r="N16" s="8"/>
      <c r="O16" s="14"/>
      <c r="P16" s="20">
        <f>NuevoCuadroDatos!A75</f>
        <v>75</v>
      </c>
    </row>
    <row r="17" spans="1:16" ht="16.5" thickTop="1" thickBot="1" x14ac:dyDescent="0.4">
      <c r="A17" s="1">
        <f>NuevoCuadroDatos!A12</f>
        <v>12</v>
      </c>
      <c r="C17" s="8"/>
      <c r="D17" s="8"/>
      <c r="E17" s="8"/>
      <c r="K17" s="8"/>
      <c r="L17" s="8"/>
      <c r="M17" s="8"/>
      <c r="N17" s="6"/>
      <c r="O17" s="12"/>
      <c r="P17" s="21">
        <f>NuevoCuadroDatos!A76</f>
        <v>76</v>
      </c>
    </row>
    <row r="18" spans="1:16" ht="16.5" thickTop="1" thickBot="1" x14ac:dyDescent="0.4">
      <c r="A18" s="2"/>
      <c r="C18" s="8"/>
      <c r="D18" s="14"/>
      <c r="E18" s="8"/>
      <c r="K18" s="8"/>
      <c r="L18" s="8"/>
      <c r="M18" s="14"/>
      <c r="N18" s="6"/>
      <c r="P18" s="20"/>
    </row>
    <row r="19" spans="1:16" ht="16.5" thickTop="1" thickBot="1" x14ac:dyDescent="0.4">
      <c r="A19" s="1">
        <f>NuevoCuadroDatos!A13</f>
        <v>13</v>
      </c>
      <c r="C19" s="8"/>
      <c r="E19" s="8"/>
      <c r="K19" s="8"/>
      <c r="L19" s="17"/>
      <c r="M19" s="12"/>
      <c r="N19" s="6"/>
      <c r="O19" s="8"/>
      <c r="P19" s="20">
        <f>NuevoCuadroDatos!A77</f>
        <v>77</v>
      </c>
    </row>
    <row r="20" spans="1:16" ht="16.5" thickTop="1" thickBot="1" x14ac:dyDescent="0.4">
      <c r="A20" s="1">
        <f>NuevoCuadroDatos!A14</f>
        <v>14</v>
      </c>
      <c r="B20" s="13"/>
      <c r="C20" s="8"/>
      <c r="E20" s="8"/>
      <c r="K20" s="8"/>
      <c r="L20" s="17"/>
      <c r="M20" s="8"/>
      <c r="N20" s="6"/>
      <c r="O20" s="11"/>
      <c r="P20" s="20">
        <f>NuevoCuadroDatos!A78</f>
        <v>78</v>
      </c>
    </row>
    <row r="21" spans="1:16" ht="16.5" thickTop="1" thickBot="1" x14ac:dyDescent="0.4">
      <c r="A21" s="2"/>
      <c r="B21" s="12"/>
      <c r="C21" s="14"/>
      <c r="E21" s="8"/>
      <c r="K21" s="8"/>
      <c r="L21" s="17"/>
      <c r="M21" s="8"/>
      <c r="N21" s="14"/>
      <c r="P21" s="20"/>
    </row>
    <row r="22" spans="1:16" ht="16.5" thickTop="1" thickBot="1" x14ac:dyDescent="0.4">
      <c r="A22" s="1">
        <f>NuevoCuadroDatos!A15</f>
        <v>15</v>
      </c>
      <c r="B22" s="14"/>
      <c r="E22" s="8"/>
      <c r="K22" s="8"/>
      <c r="M22" s="6"/>
      <c r="N22" s="12"/>
      <c r="O22" s="14"/>
      <c r="P22" s="20">
        <f>NuevoCuadroDatos!A79</f>
        <v>79</v>
      </c>
    </row>
    <row r="23" spans="1:16" ht="16.5" thickTop="1" thickBot="1" x14ac:dyDescent="0.4">
      <c r="A23" s="1">
        <f>NuevoCuadroDatos!A16</f>
        <v>16</v>
      </c>
      <c r="E23" s="8"/>
      <c r="K23" s="8"/>
      <c r="M23" s="6"/>
      <c r="N23" s="6"/>
      <c r="O23" s="12"/>
      <c r="P23" s="21">
        <f>NuevoCuadroDatos!A80</f>
        <v>80</v>
      </c>
    </row>
    <row r="24" spans="1:16" ht="16.5" thickTop="1" thickBot="1" x14ac:dyDescent="0.4">
      <c r="A24" s="2"/>
      <c r="E24" s="8"/>
      <c r="F24" s="17"/>
      <c r="K24" s="8"/>
      <c r="P24" s="20"/>
    </row>
    <row r="25" spans="1:16" ht="16.5" thickTop="1" thickBot="1" x14ac:dyDescent="0.4">
      <c r="A25" s="1">
        <f>NuevoCuadroDatos!A17</f>
        <v>17</v>
      </c>
      <c r="E25" s="8"/>
      <c r="K25" s="8"/>
      <c r="O25" s="8"/>
      <c r="P25" s="20">
        <f>NuevoCuadroDatos!A81</f>
        <v>81</v>
      </c>
    </row>
    <row r="26" spans="1:16" ht="16.5" thickTop="1" thickBot="1" x14ac:dyDescent="0.4">
      <c r="A26" s="1">
        <f>NuevoCuadroDatos!A18</f>
        <v>18</v>
      </c>
      <c r="B26" s="13"/>
      <c r="E26" s="8"/>
      <c r="K26" s="8"/>
      <c r="O26" s="11"/>
      <c r="P26" s="20">
        <f>NuevoCuadroDatos!A82</f>
        <v>82</v>
      </c>
    </row>
    <row r="27" spans="1:16" ht="16.5" thickTop="1" thickBot="1" x14ac:dyDescent="0.4">
      <c r="A27" s="2"/>
      <c r="B27" s="12"/>
      <c r="C27" s="10"/>
      <c r="E27" s="8"/>
      <c r="K27" s="8"/>
      <c r="N27" s="11"/>
      <c r="P27" s="20"/>
    </row>
    <row r="28" spans="1:16" ht="16.5" thickTop="1" thickBot="1" x14ac:dyDescent="0.4">
      <c r="A28" s="1">
        <f>NuevoCuadroDatos!A19</f>
        <v>19</v>
      </c>
      <c r="B28" s="14"/>
      <c r="C28" s="12"/>
      <c r="E28" s="8"/>
      <c r="K28" s="8"/>
      <c r="M28" s="8"/>
      <c r="N28" s="15"/>
      <c r="O28" s="14"/>
      <c r="P28" s="20">
        <f>NuevoCuadroDatos!A83</f>
        <v>83</v>
      </c>
    </row>
    <row r="29" spans="1:16" ht="16.5" thickTop="1" thickBot="1" x14ac:dyDescent="0.4">
      <c r="A29" s="1">
        <f>NuevoCuadroDatos!A20</f>
        <v>20</v>
      </c>
      <c r="C29" s="8"/>
      <c r="E29" s="8"/>
      <c r="K29" s="8"/>
      <c r="M29" s="8"/>
      <c r="O29" s="12"/>
      <c r="P29" s="20">
        <f>NuevoCuadroDatos!A84</f>
        <v>84</v>
      </c>
    </row>
    <row r="30" spans="1:16" ht="16.5" thickTop="1" thickBot="1" x14ac:dyDescent="0.4">
      <c r="A30" s="2"/>
      <c r="C30" s="8"/>
      <c r="D30" s="13"/>
      <c r="E30" s="8"/>
      <c r="K30" s="8"/>
      <c r="M30" s="11"/>
      <c r="P30" s="20"/>
    </row>
    <row r="31" spans="1:16" ht="16.5" thickTop="1" thickBot="1" x14ac:dyDescent="0.4">
      <c r="A31" s="1">
        <f>NuevoCuadroDatos!A21</f>
        <v>21</v>
      </c>
      <c r="C31" s="8"/>
      <c r="D31" s="12"/>
      <c r="E31" s="8"/>
      <c r="K31" s="8"/>
      <c r="L31" s="8"/>
      <c r="M31" s="8"/>
      <c r="O31" s="8"/>
      <c r="P31" s="21">
        <f>NuevoCuadroDatos!A85</f>
        <v>85</v>
      </c>
    </row>
    <row r="32" spans="1:16" ht="16.5" thickTop="1" thickBot="1" x14ac:dyDescent="0.4">
      <c r="A32" s="1">
        <f>NuevoCuadroDatos!A22</f>
        <v>22</v>
      </c>
      <c r="B32" s="13"/>
      <c r="C32" s="8"/>
      <c r="D32" s="8"/>
      <c r="E32" s="8"/>
      <c r="K32" s="8"/>
      <c r="L32" s="8"/>
      <c r="M32" s="8"/>
      <c r="O32" s="11"/>
      <c r="P32" s="20">
        <f>NuevoCuadroDatos!A86</f>
        <v>86</v>
      </c>
    </row>
    <row r="33" spans="1:16" ht="16.5" thickTop="1" thickBot="1" x14ac:dyDescent="0.4">
      <c r="A33" s="2"/>
      <c r="B33" s="12"/>
      <c r="C33" s="14"/>
      <c r="D33" s="8"/>
      <c r="E33" s="8"/>
      <c r="F33" s="13"/>
      <c r="K33" s="11"/>
      <c r="L33" s="8"/>
      <c r="M33" s="8"/>
      <c r="N33" s="14"/>
      <c r="P33" s="20"/>
    </row>
    <row r="34" spans="1:16" ht="16.5" thickTop="1" thickBot="1" x14ac:dyDescent="0.4">
      <c r="A34" s="1">
        <f>NuevoCuadroDatos!A23</f>
        <v>23</v>
      </c>
      <c r="B34" s="14"/>
      <c r="D34" s="8"/>
      <c r="E34" s="8"/>
      <c r="F34" s="12"/>
      <c r="H34" s="22"/>
      <c r="I34" s="22"/>
      <c r="J34" s="8"/>
      <c r="K34" s="8"/>
      <c r="L34" s="8"/>
      <c r="N34" s="12"/>
      <c r="O34" s="14"/>
      <c r="P34" s="20">
        <f>NuevoCuadroDatos!A87</f>
        <v>87</v>
      </c>
    </row>
    <row r="35" spans="1:16" ht="16.5" thickTop="1" thickBot="1" x14ac:dyDescent="0.4">
      <c r="A35" s="1">
        <f>NuevoCuadroDatos!A24</f>
        <v>24</v>
      </c>
      <c r="D35" s="8"/>
      <c r="E35" s="8"/>
      <c r="F35" s="8"/>
      <c r="J35" s="8"/>
      <c r="K35" s="8"/>
      <c r="L35" s="8"/>
      <c r="O35" s="12"/>
      <c r="P35" s="21">
        <f>NuevoCuadroDatos!A88</f>
        <v>88</v>
      </c>
    </row>
    <row r="36" spans="1:16" ht="16.5" thickTop="1" thickBot="1" x14ac:dyDescent="0.4">
      <c r="A36" s="2"/>
      <c r="D36" s="8"/>
      <c r="E36" s="14"/>
      <c r="F36" s="8"/>
      <c r="J36" s="8"/>
      <c r="K36" s="8"/>
      <c r="L36" s="14"/>
      <c r="P36" s="20"/>
    </row>
    <row r="37" spans="1:16" ht="16.5" thickTop="1" thickBot="1" x14ac:dyDescent="0.4">
      <c r="A37" s="1">
        <f>NuevoCuadroDatos!A25</f>
        <v>25</v>
      </c>
      <c r="D37" s="8"/>
      <c r="F37" s="8"/>
      <c r="J37" s="8"/>
      <c r="L37" s="8"/>
      <c r="O37" s="8"/>
      <c r="P37" s="20">
        <f>NuevoCuadroDatos!A89</f>
        <v>89</v>
      </c>
    </row>
    <row r="38" spans="1:16" ht="16.5" thickTop="1" thickBot="1" x14ac:dyDescent="0.4">
      <c r="A38" s="1">
        <f>NuevoCuadroDatos!A26</f>
        <v>26</v>
      </c>
      <c r="B38" s="13"/>
      <c r="D38" s="8"/>
      <c r="F38" s="8"/>
      <c r="J38" s="8"/>
      <c r="L38" s="8"/>
      <c r="O38" s="11"/>
      <c r="P38" s="21">
        <f>NuevoCuadroDatos!A90</f>
        <v>90</v>
      </c>
    </row>
    <row r="39" spans="1:16" ht="16.5" thickTop="1" thickBot="1" x14ac:dyDescent="0.4">
      <c r="A39" s="2"/>
      <c r="B39" s="12"/>
      <c r="C39" s="13"/>
      <c r="D39" s="8"/>
      <c r="F39" s="8"/>
      <c r="J39" s="8"/>
      <c r="L39" s="8"/>
      <c r="N39" s="11"/>
      <c r="P39" s="20"/>
    </row>
    <row r="40" spans="1:16" ht="16.5" thickTop="1" thickBot="1" x14ac:dyDescent="0.4">
      <c r="A40" s="1">
        <f>NuevoCuadroDatos!A27</f>
        <v>27</v>
      </c>
      <c r="B40" s="14"/>
      <c r="C40" s="12"/>
      <c r="D40" s="8"/>
      <c r="F40" s="8"/>
      <c r="J40" s="8"/>
      <c r="L40" s="8"/>
      <c r="M40" s="8"/>
      <c r="N40" s="15"/>
      <c r="O40" s="14"/>
      <c r="P40" s="20">
        <f>NuevoCuadroDatos!A91</f>
        <v>91</v>
      </c>
    </row>
    <row r="41" spans="1:16" ht="16.5" thickTop="1" thickBot="1" x14ac:dyDescent="0.4">
      <c r="A41" s="1">
        <f>NuevoCuadroDatos!A28</f>
        <v>28</v>
      </c>
      <c r="C41" s="8"/>
      <c r="D41" s="8"/>
      <c r="F41" s="8"/>
      <c r="J41" s="8"/>
      <c r="L41" s="8"/>
      <c r="M41" s="8"/>
      <c r="O41" s="12"/>
      <c r="P41" s="19">
        <f>NuevoCuadroDatos!A92</f>
        <v>92</v>
      </c>
    </row>
    <row r="42" spans="1:16" ht="16.5" thickTop="1" thickBot="1" x14ac:dyDescent="0.4">
      <c r="A42" s="2"/>
      <c r="C42" s="8"/>
      <c r="D42" s="14"/>
      <c r="F42" s="8"/>
      <c r="J42" s="8"/>
      <c r="L42" s="8"/>
      <c r="M42" s="14"/>
      <c r="P42" s="20"/>
    </row>
    <row r="43" spans="1:16" ht="16.5" thickTop="1" thickBot="1" x14ac:dyDescent="0.4">
      <c r="A43" s="1">
        <f>NuevoCuadroDatos!A29</f>
        <v>29</v>
      </c>
      <c r="C43" s="8"/>
      <c r="F43" s="8"/>
      <c r="J43" s="8"/>
      <c r="M43" s="8"/>
      <c r="O43" s="8"/>
      <c r="P43" s="21">
        <f>NuevoCuadroDatos!A93</f>
        <v>93</v>
      </c>
    </row>
    <row r="44" spans="1:16" ht="16.5" thickTop="1" thickBot="1" x14ac:dyDescent="0.4">
      <c r="A44" s="1">
        <f>NuevoCuadroDatos!A30</f>
        <v>30</v>
      </c>
      <c r="B44" s="13"/>
      <c r="C44" s="8"/>
      <c r="F44" s="8"/>
      <c r="J44" s="8"/>
      <c r="M44" s="8"/>
      <c r="O44" s="11"/>
      <c r="P44" s="20">
        <f>NuevoCuadroDatos!A94</f>
        <v>94</v>
      </c>
    </row>
    <row r="45" spans="1:16" ht="16.5" thickTop="1" thickBot="1" x14ac:dyDescent="0.4">
      <c r="A45" s="2"/>
      <c r="B45" s="12"/>
      <c r="C45" s="14"/>
      <c r="F45" s="8"/>
      <c r="H45" s="40"/>
      <c r="I45" s="40"/>
      <c r="J45" s="8"/>
      <c r="M45" s="8"/>
      <c r="N45" s="14"/>
      <c r="O45" s="6"/>
      <c r="P45" s="20"/>
    </row>
    <row r="46" spans="1:16" ht="16.5" thickTop="1" thickBot="1" x14ac:dyDescent="0.4">
      <c r="A46" s="1">
        <f>NuevoCuadroDatos!A31</f>
        <v>31</v>
      </c>
      <c r="B46" s="14"/>
      <c r="F46" s="8"/>
      <c r="H46" s="12"/>
      <c r="J46" s="8"/>
      <c r="M46" s="6"/>
      <c r="N46" s="12"/>
      <c r="O46" s="14"/>
      <c r="P46" s="20">
        <f>NuevoCuadroDatos!A95</f>
        <v>95</v>
      </c>
    </row>
    <row r="47" spans="1:16" ht="16.5" thickTop="1" thickBot="1" x14ac:dyDescent="0.4">
      <c r="A47" s="1">
        <f>NuevoCuadroDatos!A32</f>
        <v>32</v>
      </c>
      <c r="F47" s="8"/>
      <c r="H47" s="8"/>
      <c r="J47" s="8"/>
      <c r="N47" s="6"/>
      <c r="O47" s="12"/>
      <c r="P47" s="21">
        <f>NuevoCuadroDatos!A96</f>
        <v>96</v>
      </c>
    </row>
    <row r="48" spans="1:16" ht="16.5" thickTop="1" thickBot="1" x14ac:dyDescent="0.4">
      <c r="A48" s="2"/>
      <c r="F48" s="8"/>
      <c r="G48" s="13"/>
      <c r="H48" s="11"/>
      <c r="I48" s="13"/>
      <c r="J48" s="11"/>
      <c r="O48" s="6"/>
      <c r="P48" s="20"/>
    </row>
    <row r="49" spans="1:16" ht="16.5" thickTop="1" thickBot="1" x14ac:dyDescent="0.4">
      <c r="A49" s="1">
        <f>NuevoCuadroDatos!A33</f>
        <v>33</v>
      </c>
      <c r="F49" s="8"/>
      <c r="J49" s="8"/>
      <c r="O49" s="8"/>
      <c r="P49" s="20">
        <f>NuevoCuadroDatos!A97</f>
        <v>97</v>
      </c>
    </row>
    <row r="50" spans="1:16" ht="16.5" thickTop="1" thickBot="1" x14ac:dyDescent="0.4">
      <c r="A50" s="1">
        <f>NuevoCuadroDatos!A34</f>
        <v>34</v>
      </c>
      <c r="B50" s="13"/>
      <c r="F50" s="8"/>
      <c r="J50" s="8"/>
      <c r="O50" s="11"/>
      <c r="P50" s="20">
        <f>NuevoCuadroDatos!A98</f>
        <v>98</v>
      </c>
    </row>
    <row r="51" spans="1:16" ht="16.5" thickTop="1" thickBot="1" x14ac:dyDescent="0.4">
      <c r="A51" s="2"/>
      <c r="B51" s="12"/>
      <c r="C51" s="13"/>
      <c r="F51" s="8"/>
      <c r="J51" s="8"/>
      <c r="N51" s="11"/>
      <c r="P51" s="20"/>
    </row>
    <row r="52" spans="1:16" ht="16.5" thickTop="1" thickBot="1" x14ac:dyDescent="0.4">
      <c r="A52" s="1">
        <f>NuevoCuadroDatos!A35</f>
        <v>35</v>
      </c>
      <c r="B52" s="14"/>
      <c r="C52" s="12"/>
      <c r="F52" s="8"/>
      <c r="J52" s="8"/>
      <c r="M52" s="8"/>
      <c r="N52" s="15"/>
      <c r="O52" s="14"/>
      <c r="P52" s="21">
        <f>NuevoCuadroDatos!A99</f>
        <v>99</v>
      </c>
    </row>
    <row r="53" spans="1:16" ht="16.5" thickTop="1" thickBot="1" x14ac:dyDescent="0.4">
      <c r="A53" s="1">
        <f>NuevoCuadroDatos!A36</f>
        <v>36</v>
      </c>
      <c r="C53" s="8"/>
      <c r="F53" s="8"/>
      <c r="J53" s="8"/>
      <c r="M53" s="8"/>
      <c r="O53" s="12"/>
      <c r="P53" s="21">
        <f>NuevoCuadroDatos!A100</f>
        <v>100</v>
      </c>
    </row>
    <row r="54" spans="1:16" ht="16.5" thickTop="1" thickBot="1" x14ac:dyDescent="0.4">
      <c r="A54" s="2"/>
      <c r="C54" s="8"/>
      <c r="D54" s="13"/>
      <c r="F54" s="8"/>
      <c r="J54" s="8"/>
      <c r="M54" s="11"/>
      <c r="P54" s="20"/>
    </row>
    <row r="55" spans="1:16" ht="16.5" thickTop="1" thickBot="1" x14ac:dyDescent="0.4">
      <c r="A55" s="1">
        <f>NuevoCuadroDatos!A37</f>
        <v>37</v>
      </c>
      <c r="C55" s="8"/>
      <c r="D55" s="12"/>
      <c r="F55" s="8"/>
      <c r="J55" s="8"/>
      <c r="L55" s="8"/>
      <c r="M55" s="8"/>
      <c r="O55" s="8"/>
      <c r="P55" s="21">
        <f>NuevoCuadroDatos!A101</f>
        <v>101</v>
      </c>
    </row>
    <row r="56" spans="1:16" ht="16.5" thickTop="1" thickBot="1" x14ac:dyDescent="0.4">
      <c r="A56" s="1">
        <f>NuevoCuadroDatos!A38</f>
        <v>38</v>
      </c>
      <c r="B56" s="13"/>
      <c r="C56" s="8"/>
      <c r="D56" s="8"/>
      <c r="F56" s="8"/>
      <c r="J56" s="8"/>
      <c r="L56" s="8"/>
      <c r="M56" s="8"/>
      <c r="O56" s="11"/>
      <c r="P56" s="20">
        <f>NuevoCuadroDatos!A102</f>
        <v>102</v>
      </c>
    </row>
    <row r="57" spans="1:16" ht="16.5" thickTop="1" thickBot="1" x14ac:dyDescent="0.4">
      <c r="A57" s="2"/>
      <c r="B57" s="12"/>
      <c r="C57" s="14"/>
      <c r="D57" s="8"/>
      <c r="F57" s="8"/>
      <c r="J57" s="8"/>
      <c r="L57" s="8"/>
      <c r="M57" s="8"/>
      <c r="N57" s="14"/>
      <c r="O57" s="6"/>
      <c r="P57" s="20"/>
    </row>
    <row r="58" spans="1:16" ht="16.5" thickTop="1" thickBot="1" x14ac:dyDescent="0.4">
      <c r="A58" s="1">
        <f>NuevoCuadroDatos!A39</f>
        <v>39</v>
      </c>
      <c r="B58" s="14"/>
      <c r="D58" s="8"/>
      <c r="F58" s="8"/>
      <c r="J58" s="8"/>
      <c r="L58" s="8"/>
      <c r="M58" s="17"/>
      <c r="N58" s="12"/>
      <c r="O58" s="14"/>
      <c r="P58" s="21">
        <f>NuevoCuadroDatos!A103</f>
        <v>103</v>
      </c>
    </row>
    <row r="59" spans="1:16" ht="16.5" thickTop="1" thickBot="1" x14ac:dyDescent="0.4">
      <c r="A59" s="1">
        <f>NuevoCuadroDatos!A40</f>
        <v>40</v>
      </c>
      <c r="D59" s="8"/>
      <c r="F59" s="8"/>
      <c r="J59" s="8"/>
      <c r="L59" s="8"/>
      <c r="N59" s="6"/>
      <c r="O59" s="12"/>
      <c r="P59" s="21">
        <f>NuevoCuadroDatos!A104</f>
        <v>104</v>
      </c>
    </row>
    <row r="60" spans="1:16" ht="16.5" thickTop="1" thickBot="1" x14ac:dyDescent="0.4">
      <c r="A60" s="2"/>
      <c r="D60" s="8"/>
      <c r="E60" s="10"/>
      <c r="F60" s="8"/>
      <c r="J60" s="8"/>
      <c r="L60" s="11"/>
      <c r="P60" s="20"/>
    </row>
    <row r="61" spans="1:16" ht="16.5" thickTop="1" thickBot="1" x14ac:dyDescent="0.4">
      <c r="A61" s="1">
        <f>NuevoCuadroDatos!A41</f>
        <v>41</v>
      </c>
      <c r="D61" s="8"/>
      <c r="E61" s="12"/>
      <c r="F61" s="8"/>
      <c r="J61" s="8"/>
      <c r="K61" s="8"/>
      <c r="L61" s="8"/>
      <c r="O61" s="8"/>
      <c r="P61" s="21">
        <f>NuevoCuadroDatos!A105</f>
        <v>105</v>
      </c>
    </row>
    <row r="62" spans="1:16" ht="16.5" thickTop="1" thickBot="1" x14ac:dyDescent="0.4">
      <c r="A62" s="1">
        <f>NuevoCuadroDatos!A42</f>
        <v>42</v>
      </c>
      <c r="B62" s="13"/>
      <c r="D62" s="8"/>
      <c r="E62" s="8"/>
      <c r="F62" s="8"/>
      <c r="J62" s="8"/>
      <c r="K62" s="8"/>
      <c r="L62" s="8"/>
      <c r="O62" s="11"/>
      <c r="P62" s="20">
        <f>NuevoCuadroDatos!A106</f>
        <v>106</v>
      </c>
    </row>
    <row r="63" spans="1:16" ht="16.5" thickTop="1" thickBot="1" x14ac:dyDescent="0.4">
      <c r="A63" s="2"/>
      <c r="B63" s="12"/>
      <c r="C63" s="13"/>
      <c r="D63" s="8"/>
      <c r="E63" s="8"/>
      <c r="F63" s="8"/>
      <c r="J63" s="8"/>
      <c r="K63" s="8"/>
      <c r="L63" s="8"/>
      <c r="N63" s="11"/>
      <c r="O63" s="6"/>
      <c r="P63" s="20"/>
    </row>
    <row r="64" spans="1:16" ht="16.5" thickTop="1" thickBot="1" x14ac:dyDescent="0.4">
      <c r="A64" s="1">
        <f>NuevoCuadroDatos!A43</f>
        <v>43</v>
      </c>
      <c r="B64" s="14"/>
      <c r="C64" s="12"/>
      <c r="D64" s="8"/>
      <c r="E64" s="8"/>
      <c r="F64" s="8"/>
      <c r="J64" s="8"/>
      <c r="K64" s="8"/>
      <c r="L64" s="8"/>
      <c r="M64" s="8"/>
      <c r="N64" s="8"/>
      <c r="O64" s="14"/>
      <c r="P64" s="21">
        <f>NuevoCuadroDatos!A107</f>
        <v>107</v>
      </c>
    </row>
    <row r="65" spans="1:16" ht="16.5" thickTop="1" thickBot="1" x14ac:dyDescent="0.4">
      <c r="A65" s="1">
        <f>NuevoCuadroDatos!A44</f>
        <v>44</v>
      </c>
      <c r="C65" s="8"/>
      <c r="D65" s="8"/>
      <c r="E65" s="8"/>
      <c r="F65" s="8"/>
      <c r="J65" s="8"/>
      <c r="K65" s="8"/>
      <c r="L65" s="8"/>
      <c r="M65" s="8"/>
      <c r="N65" s="6"/>
      <c r="O65" s="12"/>
      <c r="P65" s="19">
        <f>NuevoCuadroDatos!A108</f>
        <v>108</v>
      </c>
    </row>
    <row r="66" spans="1:16" ht="16.5" thickTop="1" thickBot="1" x14ac:dyDescent="0.4">
      <c r="A66" s="2"/>
      <c r="C66" s="8"/>
      <c r="D66" s="14"/>
      <c r="E66" s="8"/>
      <c r="F66" s="8"/>
      <c r="J66" s="8"/>
      <c r="K66" s="8"/>
      <c r="L66" s="8"/>
      <c r="M66" s="14"/>
      <c r="N66" s="6"/>
      <c r="O66" s="6"/>
      <c r="P66" s="20"/>
    </row>
    <row r="67" spans="1:16" ht="16.5" thickTop="1" thickBot="1" x14ac:dyDescent="0.4">
      <c r="A67" s="1">
        <f>NuevoCuadroDatos!A45</f>
        <v>45</v>
      </c>
      <c r="C67" s="8"/>
      <c r="E67" s="8"/>
      <c r="F67" s="8"/>
      <c r="J67" s="8"/>
      <c r="K67" s="8"/>
      <c r="L67" s="17"/>
      <c r="M67" s="12"/>
      <c r="N67" s="6"/>
      <c r="O67" s="8"/>
      <c r="P67" s="21">
        <f>NuevoCuadroDatos!A109</f>
        <v>109</v>
      </c>
    </row>
    <row r="68" spans="1:16" ht="16.5" thickTop="1" thickBot="1" x14ac:dyDescent="0.4">
      <c r="A68" s="1">
        <f>NuevoCuadroDatos!A46</f>
        <v>46</v>
      </c>
      <c r="B68" s="13"/>
      <c r="C68" s="8"/>
      <c r="E68" s="8"/>
      <c r="F68" s="8"/>
      <c r="J68" s="8"/>
      <c r="K68" s="8"/>
      <c r="M68" s="8"/>
      <c r="N68" s="6"/>
      <c r="O68" s="11"/>
      <c r="P68" s="20">
        <f>NuevoCuadroDatos!A110</f>
        <v>110</v>
      </c>
    </row>
    <row r="69" spans="1:16" ht="16.5" thickTop="1" thickBot="1" x14ac:dyDescent="0.4">
      <c r="A69" s="2"/>
      <c r="B69" s="12"/>
      <c r="C69" s="14"/>
      <c r="E69" s="8"/>
      <c r="F69" s="14"/>
      <c r="J69" s="8"/>
      <c r="K69" s="14"/>
      <c r="M69" s="8"/>
      <c r="N69" s="14"/>
      <c r="O69" s="6"/>
      <c r="P69" s="20"/>
    </row>
    <row r="70" spans="1:16" ht="16.5" thickTop="1" thickBot="1" x14ac:dyDescent="0.4">
      <c r="A70" s="1">
        <f>NuevoCuadroDatos!A47</f>
        <v>47</v>
      </c>
      <c r="B70" s="14"/>
      <c r="E70" s="8"/>
      <c r="K70" s="8"/>
      <c r="M70" s="6"/>
      <c r="N70" s="12"/>
      <c r="O70" s="14"/>
      <c r="P70" s="21">
        <f>NuevoCuadroDatos!A111</f>
        <v>111</v>
      </c>
    </row>
    <row r="71" spans="1:16" ht="16.5" thickTop="1" thickBot="1" x14ac:dyDescent="0.4">
      <c r="A71" s="1">
        <f>NuevoCuadroDatos!A48</f>
        <v>48</v>
      </c>
      <c r="E71" s="8"/>
      <c r="K71" s="8"/>
      <c r="N71" s="6"/>
      <c r="O71" s="12"/>
      <c r="P71" s="21">
        <f>NuevoCuadroDatos!A112</f>
        <v>112</v>
      </c>
    </row>
    <row r="72" spans="1:16" ht="16.5" thickTop="1" thickBot="1" x14ac:dyDescent="0.4">
      <c r="A72" s="2"/>
      <c r="E72" s="8"/>
      <c r="K72" s="8"/>
      <c r="P72" s="20"/>
    </row>
    <row r="73" spans="1:16" ht="16.5" thickTop="1" thickBot="1" x14ac:dyDescent="0.4">
      <c r="A73" s="1">
        <f>NuevoCuadroDatos!A49</f>
        <v>49</v>
      </c>
      <c r="E73" s="8"/>
      <c r="K73" s="8"/>
      <c r="O73" s="8"/>
      <c r="P73" s="21">
        <f>NuevoCuadroDatos!A113</f>
        <v>113</v>
      </c>
    </row>
    <row r="74" spans="1:16" ht="16.5" thickTop="1" thickBot="1" x14ac:dyDescent="0.4">
      <c r="A74" s="1">
        <f>NuevoCuadroDatos!A50</f>
        <v>50</v>
      </c>
      <c r="B74" s="13"/>
      <c r="E74" s="8"/>
      <c r="K74" s="8"/>
      <c r="O74" s="11"/>
      <c r="P74" s="20">
        <f>NuevoCuadroDatos!A114</f>
        <v>114</v>
      </c>
    </row>
    <row r="75" spans="1:16" ht="16.5" thickTop="1" thickBot="1" x14ac:dyDescent="0.4">
      <c r="A75" s="2"/>
      <c r="B75" s="12"/>
      <c r="C75" s="13"/>
      <c r="E75" s="8"/>
      <c r="K75" s="8"/>
      <c r="N75" s="11"/>
      <c r="P75" s="20"/>
    </row>
    <row r="76" spans="1:16" ht="16.5" thickTop="1" thickBot="1" x14ac:dyDescent="0.4">
      <c r="A76" s="1">
        <f>NuevoCuadroDatos!A51</f>
        <v>51</v>
      </c>
      <c r="B76" s="14"/>
      <c r="C76" s="12"/>
      <c r="E76" s="8"/>
      <c r="K76" s="8"/>
      <c r="M76" s="8"/>
      <c r="N76" s="15"/>
      <c r="O76" s="14"/>
      <c r="P76" s="19">
        <f>NuevoCuadroDatos!A115</f>
        <v>115</v>
      </c>
    </row>
    <row r="77" spans="1:16" ht="16.5" thickTop="1" thickBot="1" x14ac:dyDescent="0.4">
      <c r="A77" s="1">
        <f>NuevoCuadroDatos!A52</f>
        <v>52</v>
      </c>
      <c r="C77" s="8"/>
      <c r="E77" s="8"/>
      <c r="K77" s="8"/>
      <c r="M77" s="8"/>
      <c r="O77" s="12"/>
      <c r="P77" s="19">
        <f>NuevoCuadroDatos!A116</f>
        <v>116</v>
      </c>
    </row>
    <row r="78" spans="1:16" ht="16.5" thickTop="1" thickBot="1" x14ac:dyDescent="0.4">
      <c r="A78" s="2"/>
      <c r="C78" s="8"/>
      <c r="D78" s="13"/>
      <c r="E78" s="8"/>
      <c r="K78" s="8"/>
      <c r="M78" s="11"/>
      <c r="P78" s="20"/>
    </row>
    <row r="79" spans="1:16" ht="16.5" thickTop="1" thickBot="1" x14ac:dyDescent="0.4">
      <c r="A79" s="1">
        <f>NuevoCuadroDatos!A53</f>
        <v>53</v>
      </c>
      <c r="C79" s="8"/>
      <c r="D79" s="12"/>
      <c r="E79" s="8"/>
      <c r="K79" s="8"/>
      <c r="L79" s="8"/>
      <c r="M79" s="8"/>
      <c r="O79" s="8"/>
      <c r="P79" s="21">
        <f>NuevoCuadroDatos!A117</f>
        <v>117</v>
      </c>
    </row>
    <row r="80" spans="1:16" ht="16.5" thickTop="1" thickBot="1" x14ac:dyDescent="0.4">
      <c r="A80" s="1">
        <f>NuevoCuadroDatos!A54</f>
        <v>54</v>
      </c>
      <c r="B80" s="10"/>
      <c r="C80" s="8"/>
      <c r="D80" s="8"/>
      <c r="E80" s="8"/>
      <c r="K80" s="8"/>
      <c r="L80" s="8"/>
      <c r="M80" s="8"/>
      <c r="O80" s="11"/>
      <c r="P80" s="20">
        <f>NuevoCuadroDatos!A118</f>
        <v>118</v>
      </c>
    </row>
    <row r="81" spans="1:16" ht="16.5" thickTop="1" thickBot="1" x14ac:dyDescent="0.4">
      <c r="A81" s="2"/>
      <c r="B81" s="12"/>
      <c r="C81" s="14"/>
      <c r="D81" s="8"/>
      <c r="E81" s="8"/>
      <c r="K81" s="8"/>
      <c r="L81" s="8"/>
      <c r="M81" s="8"/>
      <c r="N81" s="14"/>
      <c r="P81" s="20"/>
    </row>
    <row r="82" spans="1:16" ht="16.5" thickTop="1" thickBot="1" x14ac:dyDescent="0.4">
      <c r="A82" s="1">
        <f>NuevoCuadroDatos!A55</f>
        <v>55</v>
      </c>
      <c r="B82" s="14"/>
      <c r="D82" s="8"/>
      <c r="E82" s="8"/>
      <c r="K82" s="8"/>
      <c r="L82" s="8"/>
      <c r="M82" s="17"/>
      <c r="N82" s="12"/>
      <c r="O82" s="14"/>
      <c r="P82" s="21">
        <f>NuevoCuadroDatos!A119</f>
        <v>119</v>
      </c>
    </row>
    <row r="83" spans="1:16" ht="16.5" thickTop="1" thickBot="1" x14ac:dyDescent="0.4">
      <c r="A83" s="1">
        <f>NuevoCuadroDatos!A56</f>
        <v>56</v>
      </c>
      <c r="D83" s="8"/>
      <c r="E83" s="8"/>
      <c r="K83" s="8"/>
      <c r="L83" s="8"/>
      <c r="O83" s="12"/>
      <c r="P83" s="21">
        <f>NuevoCuadroDatos!A120</f>
        <v>120</v>
      </c>
    </row>
    <row r="84" spans="1:16" ht="16.5" thickTop="1" thickBot="1" x14ac:dyDescent="0.4">
      <c r="A84" s="2"/>
      <c r="D84" s="8"/>
      <c r="E84" s="14"/>
      <c r="K84" s="8"/>
      <c r="L84" s="14"/>
      <c r="P84" s="20"/>
    </row>
    <row r="85" spans="1:16" ht="16.5" thickTop="1" thickBot="1" x14ac:dyDescent="0.4">
      <c r="A85" s="1">
        <f>NuevoCuadroDatos!A57</f>
        <v>57</v>
      </c>
      <c r="D85" s="8"/>
      <c r="L85" s="8"/>
      <c r="O85" s="8"/>
      <c r="P85" s="21">
        <f>NuevoCuadroDatos!A121</f>
        <v>121</v>
      </c>
    </row>
    <row r="86" spans="1:16" ht="16.5" thickTop="1" thickBot="1" x14ac:dyDescent="0.4">
      <c r="A86" s="1">
        <f>NuevoCuadroDatos!A58</f>
        <v>58</v>
      </c>
      <c r="B86" s="13"/>
      <c r="D86" s="8"/>
      <c r="L86" s="8"/>
      <c r="O86" s="11"/>
      <c r="P86" s="20">
        <f>NuevoCuadroDatos!A122</f>
        <v>122</v>
      </c>
    </row>
    <row r="87" spans="1:16" ht="16.5" thickTop="1" thickBot="1" x14ac:dyDescent="0.4">
      <c r="A87" s="2"/>
      <c r="B87" s="12"/>
      <c r="C87" s="13"/>
      <c r="D87" s="8"/>
      <c r="L87" s="8"/>
      <c r="N87" s="11"/>
      <c r="P87" s="20"/>
    </row>
    <row r="88" spans="1:16" ht="16.5" thickTop="1" thickBot="1" x14ac:dyDescent="0.4">
      <c r="A88" s="1">
        <f>NuevoCuadroDatos!A59</f>
        <v>59</v>
      </c>
      <c r="B88" s="14"/>
      <c r="C88" s="12"/>
      <c r="D88" s="8"/>
      <c r="L88" s="8"/>
      <c r="M88" s="8"/>
      <c r="N88" s="15"/>
      <c r="O88" s="14"/>
      <c r="P88" s="21">
        <f>NuevoCuadroDatos!A123</f>
        <v>123</v>
      </c>
    </row>
    <row r="89" spans="1:16" ht="16.5" thickTop="1" thickBot="1" x14ac:dyDescent="0.4">
      <c r="A89" s="1">
        <f>NuevoCuadroDatos!A60</f>
        <v>60</v>
      </c>
      <c r="C89" s="8"/>
      <c r="D89" s="8"/>
      <c r="L89" s="8"/>
      <c r="M89" s="8"/>
      <c r="O89" s="12"/>
      <c r="P89" s="21">
        <f>NuevoCuadroDatos!A124</f>
        <v>124</v>
      </c>
    </row>
    <row r="90" spans="1:16" ht="16.5" thickTop="1" thickBot="1" x14ac:dyDescent="0.4">
      <c r="A90" s="2"/>
      <c r="C90" s="8"/>
      <c r="D90" s="14"/>
      <c r="L90" s="8"/>
      <c r="M90" s="14"/>
      <c r="P90" s="20"/>
    </row>
    <row r="91" spans="1:16" ht="16.5" thickTop="1" thickBot="1" x14ac:dyDescent="0.4">
      <c r="A91" s="1">
        <f>NuevoCuadroDatos!A61</f>
        <v>61</v>
      </c>
      <c r="B91" s="17"/>
      <c r="C91" s="8"/>
      <c r="M91" s="8"/>
      <c r="O91" s="8"/>
      <c r="P91" s="21">
        <f>NuevoCuadroDatos!A125</f>
        <v>125</v>
      </c>
    </row>
    <row r="92" spans="1:16" ht="16.5" thickTop="1" thickBot="1" x14ac:dyDescent="0.4">
      <c r="A92" s="1">
        <f>NuevoCuadroDatos!A62</f>
        <v>62</v>
      </c>
      <c r="B92" s="13"/>
      <c r="C92" s="8"/>
      <c r="M92" s="8"/>
      <c r="O92" s="11"/>
      <c r="P92" s="20">
        <f>NuevoCuadroDatos!A126</f>
        <v>126</v>
      </c>
    </row>
    <row r="93" spans="1:16" ht="16.5" thickTop="1" thickBot="1" x14ac:dyDescent="0.4">
      <c r="A93" s="2"/>
      <c r="B93" s="12"/>
      <c r="C93" s="14"/>
      <c r="M93" s="8"/>
      <c r="N93" s="14"/>
      <c r="P93" s="20"/>
    </row>
    <row r="94" spans="1:16" ht="16.5" thickTop="1" thickBot="1" x14ac:dyDescent="0.4">
      <c r="A94" s="1">
        <f>NuevoCuadroDatos!A63</f>
        <v>63</v>
      </c>
      <c r="B94" s="14"/>
      <c r="C94" s="18"/>
      <c r="N94" s="12"/>
      <c r="O94" s="14"/>
      <c r="P94" s="21">
        <f>NuevoCuadroDatos!A127</f>
        <v>127</v>
      </c>
    </row>
    <row r="95" spans="1:16" ht="16.5" thickTop="1" thickBot="1" x14ac:dyDescent="0.4">
      <c r="A95" s="1">
        <f>NuevoCuadroDatos!A64</f>
        <v>64</v>
      </c>
      <c r="O95" s="12"/>
      <c r="P95" s="21">
        <f>NuevoCuadroDatos!A128</f>
        <v>128</v>
      </c>
    </row>
    <row r="96" spans="1:16" ht="16" thickTop="1" x14ac:dyDescent="0.35"/>
  </sheetData>
  <sheetProtection selectLockedCells="1"/>
  <mergeCells count="1">
    <mergeCell ref="H45:I4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ave_draw">
                <anchor moveWithCells="1" sizeWithCells="1">
                  <from>
                    <xdr:col>6</xdr:col>
                    <xdr:colOff>850900</xdr:colOff>
                    <xdr:row>34</xdr:row>
                    <xdr:rowOff>203200</xdr:rowOff>
                  </from>
                  <to>
                    <xdr:col>7</xdr:col>
                    <xdr:colOff>1041400</xdr:colOff>
                    <xdr:row>36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Clear_draw">
                <anchor moveWithCells="1" sizeWithCells="1">
                  <from>
                    <xdr:col>8</xdr:col>
                    <xdr:colOff>12700</xdr:colOff>
                    <xdr:row>34</xdr:row>
                    <xdr:rowOff>209550</xdr:rowOff>
                  </from>
                  <to>
                    <xdr:col>9</xdr:col>
                    <xdr:colOff>12700</xdr:colOff>
                    <xdr:row>36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7">
        <x14:dataValidation type="list" allowBlank="1" showInputMessage="1" showErrorMessage="1" xr:uid="{78203A7F-9787-4E84-9E69-AAF02EBC134A}">
          <x14:formula1>
            <xm:f>NuevoCuadroDatos!$A$1:$A$2</xm:f>
          </x14:formula1>
          <xm:sqref>B2</xm:sqref>
        </x14:dataValidation>
        <x14:dataValidation type="list" allowBlank="1" showInputMessage="1" showErrorMessage="1" xr:uid="{701928B0-0E8D-4704-8E32-889522AEC5FA}">
          <x14:formula1>
            <xm:f>NuevoCuadroDatos!$A$3:$A$4</xm:f>
          </x14:formula1>
          <xm:sqref>B4</xm:sqref>
        </x14:dataValidation>
        <x14:dataValidation type="list" allowBlank="1" showInputMessage="1" showErrorMessage="1" xr:uid="{1B713FC0-4841-4EE4-9B80-17F5F93E260E}">
          <x14:formula1>
            <xm:f>NuevoCuadroDatos!$B$1:$B$2</xm:f>
          </x14:formula1>
          <xm:sqref>C3</xm:sqref>
        </x14:dataValidation>
        <x14:dataValidation type="list" allowBlank="1" showInputMessage="1" showErrorMessage="1" xr:uid="{369402EA-78D6-4B27-8FDB-432FBFFC301B}">
          <x14:formula1>
            <xm:f>NuevoCuadroDatos!$A$5:$A$6</xm:f>
          </x14:formula1>
          <xm:sqref>B8</xm:sqref>
        </x14:dataValidation>
        <x14:dataValidation type="list" allowBlank="1" showInputMessage="1" showErrorMessage="1" xr:uid="{D8700CD9-1C7B-40A8-BC93-C32E183ACD91}">
          <x14:formula1>
            <xm:f>NuevoCuadroDatos!$A$7:$A$8</xm:f>
          </x14:formula1>
          <xm:sqref>B10</xm:sqref>
        </x14:dataValidation>
        <x14:dataValidation type="list" allowBlank="1" showInputMessage="1" showErrorMessage="1" xr:uid="{AD1EA395-9DF5-4FA5-90E1-AA431AA3CE22}">
          <x14:formula1>
            <xm:f>NuevoCuadroDatos!$A$9:$A$10</xm:f>
          </x14:formula1>
          <xm:sqref>B14</xm:sqref>
        </x14:dataValidation>
        <x14:dataValidation type="list" allowBlank="1" showInputMessage="1" showErrorMessage="1" xr:uid="{5BD986D9-D6C3-4FD1-A90E-7B59428A8450}">
          <x14:formula1>
            <xm:f>NuevoCuadroDatos!$A$11:$A$12</xm:f>
          </x14:formula1>
          <xm:sqref>B16</xm:sqref>
        </x14:dataValidation>
        <x14:dataValidation type="list" allowBlank="1" showInputMessage="1" showErrorMessage="1" xr:uid="{8B6D0A5F-3CE4-46D8-9B3C-A650A4A36794}">
          <x14:formula1>
            <xm:f>NuevoCuadroDatos!$A$13:$A$14</xm:f>
          </x14:formula1>
          <xm:sqref>B20</xm:sqref>
        </x14:dataValidation>
        <x14:dataValidation type="list" allowBlank="1" showInputMessage="1" showErrorMessage="1" xr:uid="{AA0DA674-8883-4D32-8DBA-7E396C0F8BC8}">
          <x14:formula1>
            <xm:f>NuevoCuadroDatos!$A$15:$A$16</xm:f>
          </x14:formula1>
          <xm:sqref>B22</xm:sqref>
        </x14:dataValidation>
        <x14:dataValidation type="list" allowBlank="1" showInputMessage="1" showErrorMessage="1" xr:uid="{0C202B15-5924-4F16-BE68-9669D80FFAB7}">
          <x14:formula1>
            <xm:f>NuevoCuadroDatos!$A$17:$A$18</xm:f>
          </x14:formula1>
          <xm:sqref>B26</xm:sqref>
        </x14:dataValidation>
        <x14:dataValidation type="list" allowBlank="1" showInputMessage="1" showErrorMessage="1" xr:uid="{FFE6C552-4168-414A-8EBB-9498F02BBFD4}">
          <x14:formula1>
            <xm:f>NuevoCuadroDatos!$A$19:$A$20</xm:f>
          </x14:formula1>
          <xm:sqref>B28</xm:sqref>
        </x14:dataValidation>
        <x14:dataValidation type="list" allowBlank="1" showInputMessage="1" showErrorMessage="1" xr:uid="{E2EE9A21-E8BF-4361-8282-F6309309DFFA}">
          <x14:formula1>
            <xm:f>NuevoCuadroDatos!$A$21:$A$22</xm:f>
          </x14:formula1>
          <xm:sqref>B32</xm:sqref>
        </x14:dataValidation>
        <x14:dataValidation type="list" allowBlank="1" showInputMessage="1" showErrorMessage="1" xr:uid="{2902F7EE-566E-43ED-9247-E0A028FB8798}">
          <x14:formula1>
            <xm:f>NuevoCuadroDatos!$A$23:$A$24</xm:f>
          </x14:formula1>
          <xm:sqref>B34</xm:sqref>
        </x14:dataValidation>
        <x14:dataValidation type="list" allowBlank="1" showInputMessage="1" showErrorMessage="1" xr:uid="{0563C8D8-E44D-47C5-B2DA-38567A44DA56}">
          <x14:formula1>
            <xm:f>NuevoCuadroDatos!$A$25:$A$26</xm:f>
          </x14:formula1>
          <xm:sqref>B38</xm:sqref>
        </x14:dataValidation>
        <x14:dataValidation type="list" allowBlank="1" showInputMessage="1" showErrorMessage="1" xr:uid="{B4728842-1950-4C57-9CE5-5C4F9A5421F0}">
          <x14:formula1>
            <xm:f>NuevoCuadroDatos!$A$27:$A$28</xm:f>
          </x14:formula1>
          <xm:sqref>B40</xm:sqref>
        </x14:dataValidation>
        <x14:dataValidation type="list" allowBlank="1" showInputMessage="1" showErrorMessage="1" xr:uid="{CB53824F-7F5A-4F40-B447-4928749198AE}">
          <x14:formula1>
            <xm:f>NuevoCuadroDatos!$A$29:$A$30</xm:f>
          </x14:formula1>
          <xm:sqref>B44</xm:sqref>
        </x14:dataValidation>
        <x14:dataValidation type="list" allowBlank="1" showInputMessage="1" showErrorMessage="1" xr:uid="{E062EF40-D678-440B-8CF1-323F3C59D4F0}">
          <x14:formula1>
            <xm:f>NuevoCuadroDatos!$A$31:$A$32</xm:f>
          </x14:formula1>
          <xm:sqref>B46</xm:sqref>
        </x14:dataValidation>
        <x14:dataValidation type="list" allowBlank="1" showInputMessage="1" showErrorMessage="1" xr:uid="{EEA21C33-E760-4C10-AC1E-E25C37533C2A}">
          <x14:formula1>
            <xm:f>NuevoCuadroDatos!$A$33:$A$34</xm:f>
          </x14:formula1>
          <xm:sqref>B50</xm:sqref>
        </x14:dataValidation>
        <x14:dataValidation type="list" allowBlank="1" showInputMessage="1" showErrorMessage="1" xr:uid="{887D40CB-590C-4DF8-9E09-6EE259AC23F5}">
          <x14:formula1>
            <xm:f>NuevoCuadroDatos!$A$35:$A$36</xm:f>
          </x14:formula1>
          <xm:sqref>B52</xm:sqref>
        </x14:dataValidation>
        <x14:dataValidation type="list" allowBlank="1" showInputMessage="1" showErrorMessage="1" xr:uid="{1294CD57-752E-4521-BB6E-FCC913656349}">
          <x14:formula1>
            <xm:f>NuevoCuadroDatos!$A$37:$A$38</xm:f>
          </x14:formula1>
          <xm:sqref>B56</xm:sqref>
        </x14:dataValidation>
        <x14:dataValidation type="list" allowBlank="1" showInputMessage="1" showErrorMessage="1" xr:uid="{A19C409B-941D-4633-8736-60D99C517470}">
          <x14:formula1>
            <xm:f>NuevoCuadroDatos!$A$39:$A$40</xm:f>
          </x14:formula1>
          <xm:sqref>B58</xm:sqref>
        </x14:dataValidation>
        <x14:dataValidation type="list" allowBlank="1" showInputMessage="1" showErrorMessage="1" xr:uid="{A275ADF2-C25E-4CA8-9D63-C9F1495C9C42}">
          <x14:formula1>
            <xm:f>NuevoCuadroDatos!$A$41:$A$42</xm:f>
          </x14:formula1>
          <xm:sqref>B62</xm:sqref>
        </x14:dataValidation>
        <x14:dataValidation type="list" allowBlank="1" showInputMessage="1" showErrorMessage="1" xr:uid="{24C1DB61-69A4-4D26-BEE5-ABC7BB80A792}">
          <x14:formula1>
            <xm:f>NuevoCuadroDatos!$A$43:$A$44</xm:f>
          </x14:formula1>
          <xm:sqref>B64</xm:sqref>
        </x14:dataValidation>
        <x14:dataValidation type="list" allowBlank="1" showInputMessage="1" showErrorMessage="1" xr:uid="{55F92BAF-D023-438F-8EFE-76990C4A8097}">
          <x14:formula1>
            <xm:f>NuevoCuadroDatos!$A$45:$A$46</xm:f>
          </x14:formula1>
          <xm:sqref>B68</xm:sqref>
        </x14:dataValidation>
        <x14:dataValidation type="list" allowBlank="1" showInputMessage="1" showErrorMessage="1" xr:uid="{1A93124E-8D0F-4FD5-ACA1-7A8E432BD709}">
          <x14:formula1>
            <xm:f>NuevoCuadroDatos!$A$47:$A$48</xm:f>
          </x14:formula1>
          <xm:sqref>B70</xm:sqref>
        </x14:dataValidation>
        <x14:dataValidation type="list" allowBlank="1" showInputMessage="1" showErrorMessage="1" xr:uid="{144458EA-3C98-4556-B7A1-686E09E0F31D}">
          <x14:formula1>
            <xm:f>NuevoCuadroDatos!$A$49:$A$50</xm:f>
          </x14:formula1>
          <xm:sqref>B74</xm:sqref>
        </x14:dataValidation>
        <x14:dataValidation type="list" allowBlank="1" showInputMessage="1" showErrorMessage="1" xr:uid="{0858102E-D1A0-437F-8833-FE258E8D15D1}">
          <x14:formula1>
            <xm:f>NuevoCuadroDatos!$A$51:$A$52</xm:f>
          </x14:formula1>
          <xm:sqref>B76</xm:sqref>
        </x14:dataValidation>
        <x14:dataValidation type="list" allowBlank="1" showInputMessage="1" showErrorMessage="1" xr:uid="{CE04C59A-73F2-47D7-99FF-7B3B4AA9391F}">
          <x14:formula1>
            <xm:f>NuevoCuadroDatos!$A$53:$A$54</xm:f>
          </x14:formula1>
          <xm:sqref>B80</xm:sqref>
        </x14:dataValidation>
        <x14:dataValidation type="list" allowBlank="1" showInputMessage="1" showErrorMessage="1" xr:uid="{C22F6C6B-E676-430D-981E-C166E5C5272E}">
          <x14:formula1>
            <xm:f>NuevoCuadroDatos!$A$55:$A$56</xm:f>
          </x14:formula1>
          <xm:sqref>B82</xm:sqref>
        </x14:dataValidation>
        <x14:dataValidation type="list" allowBlank="1" showInputMessage="1" showErrorMessage="1" xr:uid="{48EAA823-D98D-4229-9B3F-9836FF7A8D9B}">
          <x14:formula1>
            <xm:f>NuevoCuadroDatos!$A$57:$A$58</xm:f>
          </x14:formula1>
          <xm:sqref>B86</xm:sqref>
        </x14:dataValidation>
        <x14:dataValidation type="list" allowBlank="1" showInputMessage="1" showErrorMessage="1" xr:uid="{0370F00B-3BE2-4CDC-8939-576148D5AFEF}">
          <x14:formula1>
            <xm:f>NuevoCuadroDatos!$A$59:$A$60</xm:f>
          </x14:formula1>
          <xm:sqref>B88</xm:sqref>
        </x14:dataValidation>
        <x14:dataValidation type="list" allowBlank="1" showInputMessage="1" showErrorMessage="1" xr:uid="{8D5AEB11-4EE5-4A80-BC39-89EE77955144}">
          <x14:formula1>
            <xm:f>NuevoCuadroDatos!$A$61:$A$62</xm:f>
          </x14:formula1>
          <xm:sqref>B92</xm:sqref>
        </x14:dataValidation>
        <x14:dataValidation type="list" allowBlank="1" showInputMessage="1" showErrorMessage="1" xr:uid="{E713A7E1-8FF0-4EF8-8975-C7EAB28819D5}">
          <x14:formula1>
            <xm:f>NuevoCuadroDatos!$A$63:$A$64</xm:f>
          </x14:formula1>
          <xm:sqref>B94</xm:sqref>
        </x14:dataValidation>
        <x14:dataValidation type="list" allowBlank="1" showInputMessage="1" showErrorMessage="1" xr:uid="{10CA1E10-C23D-4168-B22F-608F1C1C6C98}">
          <x14:formula1>
            <xm:f>NuevoCuadroDatos!$B$3:$B$4</xm:f>
          </x14:formula1>
          <xm:sqref>C9</xm:sqref>
        </x14:dataValidation>
        <x14:dataValidation type="list" allowBlank="1" showInputMessage="1" showErrorMessage="1" xr:uid="{E85C9182-AF45-44FE-86F7-991FB5ECA2A1}">
          <x14:formula1>
            <xm:f>NuevoCuadroDatos!$B$5:$B$6</xm:f>
          </x14:formula1>
          <xm:sqref>C15</xm:sqref>
        </x14:dataValidation>
        <x14:dataValidation type="list" allowBlank="1" showInputMessage="1" showErrorMessage="1" xr:uid="{AB6A4400-FAD6-41BB-BA88-41D25B718E5D}">
          <x14:formula1>
            <xm:f>NuevoCuadroDatos!$B$7:$B$8</xm:f>
          </x14:formula1>
          <xm:sqref>C21</xm:sqref>
        </x14:dataValidation>
        <x14:dataValidation type="list" allowBlank="1" showInputMessage="1" showErrorMessage="1" xr:uid="{27C6060F-356F-4C03-AE2E-81015EF8967B}">
          <x14:formula1>
            <xm:f>NuevoCuadroDatos!$B$9:$B$10</xm:f>
          </x14:formula1>
          <xm:sqref>C27</xm:sqref>
        </x14:dataValidation>
        <x14:dataValidation type="list" allowBlank="1" showInputMessage="1" showErrorMessage="1" xr:uid="{98171FF6-1278-4159-B929-CD630D169C0C}">
          <x14:formula1>
            <xm:f>NuevoCuadroDatos!$B$11:$B$12</xm:f>
          </x14:formula1>
          <xm:sqref>C33</xm:sqref>
        </x14:dataValidation>
        <x14:dataValidation type="list" allowBlank="1" showInputMessage="1" showErrorMessage="1" xr:uid="{07015AFB-C986-4C47-9769-C1D8B534F677}">
          <x14:formula1>
            <xm:f>NuevoCuadroDatos!$B$13:$B$14</xm:f>
          </x14:formula1>
          <xm:sqref>C39</xm:sqref>
        </x14:dataValidation>
        <x14:dataValidation type="list" allowBlank="1" showInputMessage="1" showErrorMessage="1" xr:uid="{5AD205EF-7CC8-4713-ADCA-48A6B680BE85}">
          <x14:formula1>
            <xm:f>NuevoCuadroDatos!$B$15:$B$16</xm:f>
          </x14:formula1>
          <xm:sqref>C45</xm:sqref>
        </x14:dataValidation>
        <x14:dataValidation type="list" allowBlank="1" showInputMessage="1" showErrorMessage="1" xr:uid="{54B3B742-0A81-4B56-A2CB-4961A09FE0E1}">
          <x14:formula1>
            <xm:f>NuevoCuadroDatos!$B$17:$B$18</xm:f>
          </x14:formula1>
          <xm:sqref>C51</xm:sqref>
        </x14:dataValidation>
        <x14:dataValidation type="list" allowBlank="1" showInputMessage="1" showErrorMessage="1" xr:uid="{66E62D8A-2BEA-46C6-8675-8D2CF7E7A191}">
          <x14:formula1>
            <xm:f>NuevoCuadroDatos!$B$19:$B$20</xm:f>
          </x14:formula1>
          <xm:sqref>C57</xm:sqref>
        </x14:dataValidation>
        <x14:dataValidation type="list" allowBlank="1" showInputMessage="1" showErrorMessage="1" xr:uid="{0F1B19D8-6944-492A-BEA7-A3CF99D4A3F0}">
          <x14:formula1>
            <xm:f>NuevoCuadroDatos!$B$21:$B$22</xm:f>
          </x14:formula1>
          <xm:sqref>C63</xm:sqref>
        </x14:dataValidation>
        <x14:dataValidation type="list" allowBlank="1" showInputMessage="1" showErrorMessage="1" xr:uid="{A889AF8B-33E4-4EE4-AE87-4AB73E09372D}">
          <x14:formula1>
            <xm:f>NuevoCuadroDatos!$B$23:$B$24</xm:f>
          </x14:formula1>
          <xm:sqref>C69</xm:sqref>
        </x14:dataValidation>
        <x14:dataValidation type="list" allowBlank="1" showInputMessage="1" showErrorMessage="1" xr:uid="{9B03F24C-8F25-48A0-9343-1499F504CB5B}">
          <x14:formula1>
            <xm:f>NuevoCuadroDatos!$B$25:$B$26</xm:f>
          </x14:formula1>
          <xm:sqref>C75</xm:sqref>
        </x14:dataValidation>
        <x14:dataValidation type="list" allowBlank="1" showInputMessage="1" showErrorMessage="1" xr:uid="{3316187D-2512-4D72-8658-320E4384B91C}">
          <x14:formula1>
            <xm:f>NuevoCuadroDatos!$B$27:$B$28</xm:f>
          </x14:formula1>
          <xm:sqref>C81</xm:sqref>
        </x14:dataValidation>
        <x14:dataValidation type="list" allowBlank="1" showInputMessage="1" showErrorMessage="1" xr:uid="{7C2F3B86-C6D7-48C4-8D8B-B418C37FCE5D}">
          <x14:formula1>
            <xm:f>NuevoCuadroDatos!$B$29:$B$30</xm:f>
          </x14:formula1>
          <xm:sqref>C87</xm:sqref>
        </x14:dataValidation>
        <x14:dataValidation type="list" allowBlank="1" showInputMessage="1" showErrorMessage="1" xr:uid="{13DB2E6D-640C-40C6-81D0-74ECACD4191C}">
          <x14:formula1>
            <xm:f>NuevoCuadroDatos!$B$31:$B$32</xm:f>
          </x14:formula1>
          <xm:sqref>C93</xm:sqref>
        </x14:dataValidation>
        <x14:dataValidation type="list" allowBlank="1" showInputMessage="1" showErrorMessage="1" xr:uid="{A36CA819-CA0D-4651-8024-A097E42A7725}">
          <x14:formula1>
            <xm:f>NuevoCuadroDatos!$A$65:$A$66</xm:f>
          </x14:formula1>
          <xm:sqref>O2</xm:sqref>
        </x14:dataValidation>
        <x14:dataValidation type="list" allowBlank="1" showInputMessage="1" showErrorMessage="1" xr:uid="{4913832A-343D-4E2A-A7C2-95BF878D2F72}">
          <x14:formula1>
            <xm:f>NuevoCuadroDatos!$A$67:$A$68</xm:f>
          </x14:formula1>
          <xm:sqref>O4</xm:sqref>
        </x14:dataValidation>
        <x14:dataValidation type="list" allowBlank="1" showInputMessage="1" showErrorMessage="1" xr:uid="{7D74D047-B2BF-4204-9838-4471FA23AC57}">
          <x14:formula1>
            <xm:f>NuevoCuadroDatos!$A$69:$A$70</xm:f>
          </x14:formula1>
          <xm:sqref>O8</xm:sqref>
        </x14:dataValidation>
        <x14:dataValidation type="list" allowBlank="1" showInputMessage="1" showErrorMessage="1" xr:uid="{0202FBCC-B3D9-4783-BC9B-D5DD5E6F5234}">
          <x14:formula1>
            <xm:f>NuevoCuadroDatos!$A$71:$A$72</xm:f>
          </x14:formula1>
          <xm:sqref>O10</xm:sqref>
        </x14:dataValidation>
        <x14:dataValidation type="list" allowBlank="1" showInputMessage="1" showErrorMessage="1" xr:uid="{785F7587-0E50-439A-90CA-2E80134AC880}">
          <x14:formula1>
            <xm:f>NuevoCuadroDatos!$A$73:$A$74</xm:f>
          </x14:formula1>
          <xm:sqref>O14</xm:sqref>
        </x14:dataValidation>
        <x14:dataValidation type="list" allowBlank="1" showInputMessage="1" showErrorMessage="1" xr:uid="{B8500637-D874-4B52-A030-BED0A02EF086}">
          <x14:formula1>
            <xm:f>NuevoCuadroDatos!$A$75:$A$76</xm:f>
          </x14:formula1>
          <xm:sqref>O16</xm:sqref>
        </x14:dataValidation>
        <x14:dataValidation type="list" allowBlank="1" showInputMessage="1" showErrorMessage="1" xr:uid="{B0413C65-7B83-44B6-9335-B976410C3AD9}">
          <x14:formula1>
            <xm:f>NuevoCuadroDatos!$A$77:$A$78</xm:f>
          </x14:formula1>
          <xm:sqref>O20</xm:sqref>
        </x14:dataValidation>
        <x14:dataValidation type="list" allowBlank="1" showInputMessage="1" showErrorMessage="1" xr:uid="{BF0A0755-50DC-4EFA-8392-AAFA5921EA98}">
          <x14:formula1>
            <xm:f>NuevoCuadroDatos!$A$79:$A$80</xm:f>
          </x14:formula1>
          <xm:sqref>O22</xm:sqref>
        </x14:dataValidation>
        <x14:dataValidation type="list" allowBlank="1" showInputMessage="1" showErrorMessage="1" xr:uid="{5273FBE5-AE7B-4230-9894-AE19C8D9C8C1}">
          <x14:formula1>
            <xm:f>NuevoCuadroDatos!$A$81:$A$82</xm:f>
          </x14:formula1>
          <xm:sqref>O26</xm:sqref>
        </x14:dataValidation>
        <x14:dataValidation type="list" allowBlank="1" showInputMessage="1" showErrorMessage="1" xr:uid="{05E03417-7A5E-4A31-B68E-205CF29B86DE}">
          <x14:formula1>
            <xm:f>NuevoCuadroDatos!$A$83:$A$84</xm:f>
          </x14:formula1>
          <xm:sqref>O28</xm:sqref>
        </x14:dataValidation>
        <x14:dataValidation type="list" allowBlank="1" showInputMessage="1" showErrorMessage="1" xr:uid="{87B0C85A-CB94-4383-B4DD-0095E9174AA7}">
          <x14:formula1>
            <xm:f>NuevoCuadroDatos!$A$85:$A$86</xm:f>
          </x14:formula1>
          <xm:sqref>O32</xm:sqref>
        </x14:dataValidation>
        <x14:dataValidation type="list" allowBlank="1" showInputMessage="1" showErrorMessage="1" xr:uid="{037428D3-86BE-4C7D-AEA6-EEB9CEF4E3C3}">
          <x14:formula1>
            <xm:f>NuevoCuadroDatos!$A$87:$A$88</xm:f>
          </x14:formula1>
          <xm:sqref>O34</xm:sqref>
        </x14:dataValidation>
        <x14:dataValidation type="list" allowBlank="1" showInputMessage="1" showErrorMessage="1" xr:uid="{3509EE3A-08B0-4AAD-B9F4-428CC941E5BE}">
          <x14:formula1>
            <xm:f>NuevoCuadroDatos!$A$89:$A$90</xm:f>
          </x14:formula1>
          <xm:sqref>O38</xm:sqref>
        </x14:dataValidation>
        <x14:dataValidation type="list" allowBlank="1" showInputMessage="1" showErrorMessage="1" xr:uid="{B1AE84B0-1E18-4964-9B37-C2E5BAECDB72}">
          <x14:formula1>
            <xm:f>NuevoCuadroDatos!$A$91:$A$92</xm:f>
          </x14:formula1>
          <xm:sqref>O40</xm:sqref>
        </x14:dataValidation>
        <x14:dataValidation type="list" allowBlank="1" showInputMessage="1" showErrorMessage="1" xr:uid="{9D371CFB-6DFE-4209-B174-347E86D07949}">
          <x14:formula1>
            <xm:f>NuevoCuadroDatos!$A$93:$A$94</xm:f>
          </x14:formula1>
          <xm:sqref>O44</xm:sqref>
        </x14:dataValidation>
        <x14:dataValidation type="list" allowBlank="1" showInputMessage="1" showErrorMessage="1" xr:uid="{499F9B29-1AD3-4EE1-B425-B1C192A5C7AB}">
          <x14:formula1>
            <xm:f>NuevoCuadroDatos!$A$95:$A$96</xm:f>
          </x14:formula1>
          <xm:sqref>O46</xm:sqref>
        </x14:dataValidation>
        <x14:dataValidation type="list" allowBlank="1" showInputMessage="1" showErrorMessage="1" xr:uid="{D92FC786-A66F-456A-ACB6-42824C926F93}">
          <x14:formula1>
            <xm:f>NuevoCuadroDatos!$A$97:$A$98</xm:f>
          </x14:formula1>
          <xm:sqref>O50</xm:sqref>
        </x14:dataValidation>
        <x14:dataValidation type="list" allowBlank="1" showInputMessage="1" showErrorMessage="1" xr:uid="{B58409B7-0EA1-44CC-83FD-BE425D1FAF66}">
          <x14:formula1>
            <xm:f>NuevoCuadroDatos!$A$99:$A$100</xm:f>
          </x14:formula1>
          <xm:sqref>O52</xm:sqref>
        </x14:dataValidation>
        <x14:dataValidation type="list" allowBlank="1" showInputMessage="1" showErrorMessage="1" xr:uid="{E904F3C6-A3BD-4B63-8713-A40BF9BA1E72}">
          <x14:formula1>
            <xm:f>NuevoCuadroDatos!$A$101:$A$102</xm:f>
          </x14:formula1>
          <xm:sqref>O56</xm:sqref>
        </x14:dataValidation>
        <x14:dataValidation type="list" allowBlank="1" showInputMessage="1" showErrorMessage="1" xr:uid="{4D2D6A8F-72B8-40B5-ACDB-8D504FAB5C94}">
          <x14:formula1>
            <xm:f>NuevoCuadroDatos!$A$103:$A$104</xm:f>
          </x14:formula1>
          <xm:sqref>O58</xm:sqref>
        </x14:dataValidation>
        <x14:dataValidation type="list" allowBlank="1" showInputMessage="1" showErrorMessage="1" xr:uid="{24303324-BCC0-4A84-B3B8-834F5029FA43}">
          <x14:formula1>
            <xm:f>NuevoCuadroDatos!$A$105:$A$106</xm:f>
          </x14:formula1>
          <xm:sqref>O62</xm:sqref>
        </x14:dataValidation>
        <x14:dataValidation type="list" allowBlank="1" showInputMessage="1" showErrorMessage="1" xr:uid="{939B4E13-40C9-4D98-B95E-852CD3348283}">
          <x14:formula1>
            <xm:f>NuevoCuadroDatos!$A$107:$A$108</xm:f>
          </x14:formula1>
          <xm:sqref>O64</xm:sqref>
        </x14:dataValidation>
        <x14:dataValidation type="list" allowBlank="1" showInputMessage="1" showErrorMessage="1" xr:uid="{B7CFEE6D-38BA-4F26-9E5E-FB5102A55DBB}">
          <x14:formula1>
            <xm:f>NuevoCuadroDatos!$A$109:$A$110</xm:f>
          </x14:formula1>
          <xm:sqref>O68</xm:sqref>
        </x14:dataValidation>
        <x14:dataValidation type="list" allowBlank="1" showInputMessage="1" showErrorMessage="1" xr:uid="{B7F93496-3922-4B3A-BE10-15721F0A38BE}">
          <x14:formula1>
            <xm:f>NuevoCuadroDatos!$A$111:$A$112</xm:f>
          </x14:formula1>
          <xm:sqref>O70</xm:sqref>
        </x14:dataValidation>
        <x14:dataValidation type="list" allowBlank="1" showInputMessage="1" showErrorMessage="1" xr:uid="{0433C482-9A3A-415A-A603-AEAE38D1DD55}">
          <x14:formula1>
            <xm:f>NuevoCuadroDatos!$A$113:$A$114</xm:f>
          </x14:formula1>
          <xm:sqref>O74</xm:sqref>
        </x14:dataValidation>
        <x14:dataValidation type="list" allowBlank="1" showInputMessage="1" showErrorMessage="1" xr:uid="{45C4021A-3433-44FE-8A3B-D885542A824F}">
          <x14:formula1>
            <xm:f>NuevoCuadroDatos!$A$115:$A$116</xm:f>
          </x14:formula1>
          <xm:sqref>O76</xm:sqref>
        </x14:dataValidation>
        <x14:dataValidation type="list" allowBlank="1" showInputMessage="1" showErrorMessage="1" xr:uid="{3D89AB80-9DF4-4C1C-839B-63CB81B72CA8}">
          <x14:formula1>
            <xm:f>NuevoCuadroDatos!$A$117:$A$118</xm:f>
          </x14:formula1>
          <xm:sqref>O80</xm:sqref>
        </x14:dataValidation>
        <x14:dataValidation type="list" allowBlank="1" showInputMessage="1" showErrorMessage="1" xr:uid="{585D4E71-AB4A-49F3-A2BF-EB3357C9B609}">
          <x14:formula1>
            <xm:f>NuevoCuadroDatos!$A$119:$A$120</xm:f>
          </x14:formula1>
          <xm:sqref>O82</xm:sqref>
        </x14:dataValidation>
        <x14:dataValidation type="list" allowBlank="1" showInputMessage="1" showErrorMessage="1" xr:uid="{EC169AF3-B3D9-4662-9046-5A65C81EF8D0}">
          <x14:formula1>
            <xm:f>NuevoCuadroDatos!$A$121:$A$122</xm:f>
          </x14:formula1>
          <xm:sqref>O86</xm:sqref>
        </x14:dataValidation>
        <x14:dataValidation type="list" allowBlank="1" showInputMessage="1" showErrorMessage="1" xr:uid="{F8B53AB7-A24A-4D89-94E1-C1E0B709D4DB}">
          <x14:formula1>
            <xm:f>NuevoCuadroDatos!$A$123:$A$124</xm:f>
          </x14:formula1>
          <xm:sqref>O88</xm:sqref>
        </x14:dataValidation>
        <x14:dataValidation type="list" allowBlank="1" showInputMessage="1" showErrorMessage="1" xr:uid="{BC7A9AD3-AC81-4B55-8626-1F2031F9DED9}">
          <x14:formula1>
            <xm:f>NuevoCuadroDatos!$A$125:$A$126</xm:f>
          </x14:formula1>
          <xm:sqref>O92</xm:sqref>
        </x14:dataValidation>
        <x14:dataValidation type="list" allowBlank="1" showInputMessage="1" showErrorMessage="1" xr:uid="{E6D6E212-4CF9-4682-9E3B-FA0C9C76B475}">
          <x14:formula1>
            <xm:f>NuevoCuadroDatos!$A$127:$A$128</xm:f>
          </x14:formula1>
          <xm:sqref>O94</xm:sqref>
        </x14:dataValidation>
        <x14:dataValidation type="list" allowBlank="1" showInputMessage="1" showErrorMessage="1" xr:uid="{041E2538-AE0E-4610-A712-59C24A02B530}">
          <x14:formula1>
            <xm:f>NuevoCuadroDatos!$C$1:$C$2</xm:f>
          </x14:formula1>
          <xm:sqref>D6</xm:sqref>
        </x14:dataValidation>
        <x14:dataValidation type="list" allowBlank="1" showInputMessage="1" showErrorMessage="1" xr:uid="{0664A865-8742-46BC-9EAC-2152D5A46398}">
          <x14:formula1>
            <xm:f>NuevoCuadroDatos!$C$3:$C$4</xm:f>
          </x14:formula1>
          <xm:sqref>D18</xm:sqref>
        </x14:dataValidation>
        <x14:dataValidation type="list" allowBlank="1" showInputMessage="1" showErrorMessage="1" xr:uid="{261ACE5D-B5B2-41E6-8D30-5F3FBC799402}">
          <x14:formula1>
            <xm:f>NuevoCuadroDatos!$C$5:$C$6</xm:f>
          </x14:formula1>
          <xm:sqref>D30</xm:sqref>
        </x14:dataValidation>
        <x14:dataValidation type="list" allowBlank="1" showInputMessage="1" showErrorMessage="1" xr:uid="{20D772E8-FAB6-45FD-BE6D-2E18B9D041E6}">
          <x14:formula1>
            <xm:f>NuevoCuadroDatos!$C$7:$C$8</xm:f>
          </x14:formula1>
          <xm:sqref>D42</xm:sqref>
        </x14:dataValidation>
        <x14:dataValidation type="list" allowBlank="1" showInputMessage="1" showErrorMessage="1" xr:uid="{958E083F-E385-4642-94DC-E5A1A6045219}">
          <x14:formula1>
            <xm:f>NuevoCuadroDatos!$C$9:$C$10</xm:f>
          </x14:formula1>
          <xm:sqref>D54</xm:sqref>
        </x14:dataValidation>
        <x14:dataValidation type="list" allowBlank="1" showInputMessage="1" showErrorMessage="1" xr:uid="{A1D32309-0755-4A35-83EA-937A55BCF0BD}">
          <x14:formula1>
            <xm:f>NuevoCuadroDatos!$C$11:$C$12</xm:f>
          </x14:formula1>
          <xm:sqref>D66</xm:sqref>
        </x14:dataValidation>
        <x14:dataValidation type="list" allowBlank="1" showInputMessage="1" showErrorMessage="1" xr:uid="{00A34BDE-A52D-4958-BE4F-9C6285DC9A6C}">
          <x14:formula1>
            <xm:f>NuevoCuadroDatos!$C$13:$C$14</xm:f>
          </x14:formula1>
          <xm:sqref>D78</xm:sqref>
        </x14:dataValidation>
        <x14:dataValidation type="list" allowBlank="1" showInputMessage="1" showErrorMessage="1" xr:uid="{7B63E86A-63EF-4215-8DD4-93C2AA231060}">
          <x14:formula1>
            <xm:f>NuevoCuadroDatos!$C$15:$C$16</xm:f>
          </x14:formula1>
          <xm:sqref>D90</xm:sqref>
        </x14:dataValidation>
        <x14:dataValidation type="list" allowBlank="1" showInputMessage="1" showErrorMessage="1" xr:uid="{F30C9D68-3FA6-4499-AE19-83055E39AF83}">
          <x14:formula1>
            <xm:f>NuevoCuadroDatos!$D$1:$D$2</xm:f>
          </x14:formula1>
          <xm:sqref>E12</xm:sqref>
        </x14:dataValidation>
        <x14:dataValidation type="list" allowBlank="1" showInputMessage="1" showErrorMessage="1" xr:uid="{B9AC34E9-03A8-40AD-80DC-00A1B3640CB3}">
          <x14:formula1>
            <xm:f>NuevoCuadroDatos!$D$3:$D$4</xm:f>
          </x14:formula1>
          <xm:sqref>E36</xm:sqref>
        </x14:dataValidation>
        <x14:dataValidation type="list" allowBlank="1" showInputMessage="1" showErrorMessage="1" xr:uid="{0B63434E-438C-455B-83FB-E5677E6850D5}">
          <x14:formula1>
            <xm:f>NuevoCuadroDatos!$D$5:$D$6</xm:f>
          </x14:formula1>
          <xm:sqref>E60</xm:sqref>
        </x14:dataValidation>
        <x14:dataValidation type="list" allowBlank="1" showInputMessage="1" showErrorMessage="1" xr:uid="{BAAE0EAB-DAF0-4766-A991-3A0D8E3A262D}">
          <x14:formula1>
            <xm:f>NuevoCuadroDatos!$D$7:$D$8</xm:f>
          </x14:formula1>
          <xm:sqref>E84</xm:sqref>
        </x14:dataValidation>
        <x14:dataValidation type="list" allowBlank="1" showInputMessage="1" showErrorMessage="1" xr:uid="{FA42120E-BB9F-4F38-A4BD-EFA7D254FCF1}">
          <x14:formula1>
            <xm:f>NuevoCuadroDatos!$D$9:$D$10</xm:f>
          </x14:formula1>
          <xm:sqref>L12</xm:sqref>
        </x14:dataValidation>
        <x14:dataValidation type="list" allowBlank="1" showInputMessage="1" showErrorMessage="1" xr:uid="{64B69BF1-8FC0-4F6A-91D9-A731DD63CDE4}">
          <x14:formula1>
            <xm:f>NuevoCuadroDatos!$D$11:$D$12</xm:f>
          </x14:formula1>
          <xm:sqref>L36</xm:sqref>
        </x14:dataValidation>
        <x14:dataValidation type="list" allowBlank="1" showInputMessage="1" showErrorMessage="1" xr:uid="{7C1BDC98-1128-4A35-ABDC-4884D93DAA69}">
          <x14:formula1>
            <xm:f>NuevoCuadroDatos!$D$13:$D$14</xm:f>
          </x14:formula1>
          <xm:sqref>L60</xm:sqref>
        </x14:dataValidation>
        <x14:dataValidation type="list" allowBlank="1" showInputMessage="1" showErrorMessage="1" xr:uid="{A6F7E19A-6272-472E-912B-5FE80F24F10C}">
          <x14:formula1>
            <xm:f>NuevoCuadroDatos!$D$15:$D$16</xm:f>
          </x14:formula1>
          <xm:sqref>L84</xm:sqref>
        </x14:dataValidation>
        <x14:dataValidation type="list" allowBlank="1" showInputMessage="1" showErrorMessage="1" xr:uid="{34C59C85-7838-4F89-9E9F-FE1ED270EF16}">
          <x14:formula1>
            <xm:f>NuevoCuadroDatos!$E$1:$E$2</xm:f>
          </x14:formula1>
          <xm:sqref>F33</xm:sqref>
        </x14:dataValidation>
        <x14:dataValidation type="list" allowBlank="1" showInputMessage="1" showErrorMessage="1" xr:uid="{3BAE85BB-D94D-4B0A-8551-C35012DC5BB1}">
          <x14:formula1>
            <xm:f>NuevoCuadroDatos!$E$3:$E$4</xm:f>
          </x14:formula1>
          <xm:sqref>F69</xm:sqref>
        </x14:dataValidation>
        <x14:dataValidation type="list" allowBlank="1" showInputMessage="1" showErrorMessage="1" xr:uid="{A1E4B3BD-A472-4E75-B083-5B5F218603F3}">
          <x14:formula1>
            <xm:f>NuevoCuadroDatos!$E$5:$E$6</xm:f>
          </x14:formula1>
          <xm:sqref>K33</xm:sqref>
        </x14:dataValidation>
        <x14:dataValidation type="list" allowBlank="1" showInputMessage="1" showErrorMessage="1" xr:uid="{D5B6678E-B105-4D56-9516-26316E9E30F6}">
          <x14:formula1>
            <xm:f>NuevoCuadroDatos!$E$7:$E$8</xm:f>
          </x14:formula1>
          <xm:sqref>K69</xm:sqref>
        </x14:dataValidation>
        <x14:dataValidation type="list" allowBlank="1" showInputMessage="1" showErrorMessage="1" xr:uid="{E26F1D74-688C-4377-A18F-4FDC0F3B8926}">
          <x14:formula1>
            <xm:f>NuevoCuadroDatos!$F$1:$F$2</xm:f>
          </x14:formula1>
          <xm:sqref>G48</xm:sqref>
        </x14:dataValidation>
        <x14:dataValidation type="list" allowBlank="1" showInputMessage="1" showErrorMessage="1" xr:uid="{ED4C2165-41A2-4E4F-BE1B-68C70448B8FB}">
          <x14:formula1>
            <xm:f>NuevoCuadroDatos!$F$3:$F$4</xm:f>
          </x14:formula1>
          <xm:sqref>J48</xm:sqref>
        </x14:dataValidation>
        <x14:dataValidation type="list" allowBlank="1" showInputMessage="1" showErrorMessage="1" xr:uid="{BB4EE1DD-00DD-4F26-B1D3-D8917142490C}">
          <x14:formula1>
            <xm:f>NuevoCuadroDatos!$G$1:$G$2</xm:f>
          </x14:formula1>
          <xm:sqref>H45:I45</xm:sqref>
        </x14:dataValidation>
        <x14:dataValidation type="list" allowBlank="1" showInputMessage="1" showErrorMessage="1" xr:uid="{106E5001-74C7-44B8-9F31-9F8381203E3B}">
          <x14:formula1>
            <xm:f>NuevoCuadroDatos!$C$31:$C$32</xm:f>
          </x14:formula1>
          <xm:sqref>M90</xm:sqref>
        </x14:dataValidation>
        <x14:dataValidation type="list" allowBlank="1" showInputMessage="1" showErrorMessage="1" xr:uid="{6BCA0748-3062-4989-A409-C74FE93BB221}">
          <x14:formula1>
            <xm:f>NuevoCuadroDatos!$B$33:$B$34</xm:f>
          </x14:formula1>
          <xm:sqref>N3</xm:sqref>
        </x14:dataValidation>
        <x14:dataValidation type="list" allowBlank="1" showInputMessage="1" showErrorMessage="1" xr:uid="{BD0FF016-400F-4F89-900E-FD82A78B926A}">
          <x14:formula1>
            <xm:f>NuevoCuadroDatos!$B$35:$B$36</xm:f>
          </x14:formula1>
          <xm:sqref>N9</xm:sqref>
        </x14:dataValidation>
        <x14:dataValidation type="list" allowBlank="1" showInputMessage="1" showErrorMessage="1" xr:uid="{3D5CDD2B-F9D8-4AE0-AC1B-65125953ED1B}">
          <x14:formula1>
            <xm:f>NuevoCuadroDatos!$B$37:$B$38</xm:f>
          </x14:formula1>
          <xm:sqref>N15</xm:sqref>
        </x14:dataValidation>
        <x14:dataValidation type="list" allowBlank="1" showInputMessage="1" showErrorMessage="1" xr:uid="{DC866CD9-FDC5-499D-BDCB-A6FFD577B0A6}">
          <x14:formula1>
            <xm:f>NuevoCuadroDatos!$B$39:$B$40</xm:f>
          </x14:formula1>
          <xm:sqref>N21</xm:sqref>
        </x14:dataValidation>
        <x14:dataValidation type="list" allowBlank="1" showInputMessage="1" showErrorMessage="1" xr:uid="{190891B1-98AE-4A07-8E2D-E5A2788B3C42}">
          <x14:formula1>
            <xm:f>NuevoCuadroDatos!$B$41:$B$42</xm:f>
          </x14:formula1>
          <xm:sqref>N27</xm:sqref>
        </x14:dataValidation>
        <x14:dataValidation type="list" allowBlank="1" showInputMessage="1" showErrorMessage="1" xr:uid="{48B40F2E-789C-4691-9527-063A96461AB2}">
          <x14:formula1>
            <xm:f>NuevoCuadroDatos!$B$43:$B$44</xm:f>
          </x14:formula1>
          <xm:sqref>N33</xm:sqref>
        </x14:dataValidation>
        <x14:dataValidation type="list" allowBlank="1" showInputMessage="1" showErrorMessage="1" xr:uid="{C9FBA639-FAB5-41DB-A1F2-498642FB6091}">
          <x14:formula1>
            <xm:f>NuevoCuadroDatos!$B$45:$B$46</xm:f>
          </x14:formula1>
          <xm:sqref>N39</xm:sqref>
        </x14:dataValidation>
        <x14:dataValidation type="list" allowBlank="1" showInputMessage="1" showErrorMessage="1" xr:uid="{55C08F0E-D904-4204-B864-B5EBDE62F8A9}">
          <x14:formula1>
            <xm:f>NuevoCuadroDatos!$B$47:$B$48</xm:f>
          </x14:formula1>
          <xm:sqref>N45</xm:sqref>
        </x14:dataValidation>
        <x14:dataValidation type="list" allowBlank="1" showInputMessage="1" showErrorMessage="1" xr:uid="{952092A3-3504-4D39-88EC-0E4E742BF48B}">
          <x14:formula1>
            <xm:f>NuevoCuadroDatos!$B$49:$B$50</xm:f>
          </x14:formula1>
          <xm:sqref>N51</xm:sqref>
        </x14:dataValidation>
        <x14:dataValidation type="list" allowBlank="1" showInputMessage="1" showErrorMessage="1" xr:uid="{FC8271A4-0E6E-4E35-A7B3-335AB7CB81E1}">
          <x14:formula1>
            <xm:f>NuevoCuadroDatos!$B$51:$B$52</xm:f>
          </x14:formula1>
          <xm:sqref>N57</xm:sqref>
        </x14:dataValidation>
        <x14:dataValidation type="list" allowBlank="1" showInputMessage="1" showErrorMessage="1" xr:uid="{726959E7-0769-49CB-98CF-0788035EB7E9}">
          <x14:formula1>
            <xm:f>NuevoCuadroDatos!$B$53:$B$54</xm:f>
          </x14:formula1>
          <xm:sqref>N63</xm:sqref>
        </x14:dataValidation>
        <x14:dataValidation type="list" allowBlank="1" showInputMessage="1" showErrorMessage="1" xr:uid="{764A2AC7-6609-465A-98DE-C07227DA460A}">
          <x14:formula1>
            <xm:f>NuevoCuadroDatos!$B$55:$B$56</xm:f>
          </x14:formula1>
          <xm:sqref>N69</xm:sqref>
        </x14:dataValidation>
        <x14:dataValidation type="list" allowBlank="1" showInputMessage="1" showErrorMessage="1" xr:uid="{9A935E38-3AD7-4B34-83CE-1F81769A308B}">
          <x14:formula1>
            <xm:f>NuevoCuadroDatos!$B$57:$B$58</xm:f>
          </x14:formula1>
          <xm:sqref>N75</xm:sqref>
        </x14:dataValidation>
        <x14:dataValidation type="list" allowBlank="1" showInputMessage="1" showErrorMessage="1" xr:uid="{1D71240B-0E2A-47DD-8221-D06481AAE6DC}">
          <x14:formula1>
            <xm:f>NuevoCuadroDatos!$B$59:$B$60</xm:f>
          </x14:formula1>
          <xm:sqref>N81</xm:sqref>
        </x14:dataValidation>
        <x14:dataValidation type="list" allowBlank="1" showInputMessage="1" showErrorMessage="1" xr:uid="{EDD90596-E80F-4C36-BAB4-3E6273AA3182}">
          <x14:formula1>
            <xm:f>NuevoCuadroDatos!$B$61:$B$62</xm:f>
          </x14:formula1>
          <xm:sqref>N87</xm:sqref>
        </x14:dataValidation>
        <x14:dataValidation type="list" allowBlank="1" showInputMessage="1" showErrorMessage="1" xr:uid="{F981A062-ABDF-4413-A7AC-60B3BC1715BF}">
          <x14:formula1>
            <xm:f>NuevoCuadroDatos!$B$63:$B$64</xm:f>
          </x14:formula1>
          <xm:sqref>N93</xm:sqref>
        </x14:dataValidation>
        <x14:dataValidation type="list" allowBlank="1" showInputMessage="1" showErrorMessage="1" xr:uid="{73C3A032-D980-4C8F-8667-2385743F32C7}">
          <x14:formula1>
            <xm:f>NuevoCuadroDatos!$C$17:$C$18</xm:f>
          </x14:formula1>
          <xm:sqref>M6</xm:sqref>
        </x14:dataValidation>
        <x14:dataValidation type="list" allowBlank="1" showInputMessage="1" showErrorMessage="1" xr:uid="{39D0B94C-DE24-45BA-8B75-96FAF0531DF5}">
          <x14:formula1>
            <xm:f>NuevoCuadroDatos!$C$19:$C$20</xm:f>
          </x14:formula1>
          <xm:sqref>M18</xm:sqref>
        </x14:dataValidation>
        <x14:dataValidation type="list" allowBlank="1" showInputMessage="1" showErrorMessage="1" xr:uid="{3BDC3D63-9A64-436D-9291-C3E69C58F170}">
          <x14:formula1>
            <xm:f>NuevoCuadroDatos!$C$21:$C$22</xm:f>
          </x14:formula1>
          <xm:sqref>M30</xm:sqref>
        </x14:dataValidation>
        <x14:dataValidation type="list" allowBlank="1" showInputMessage="1" showErrorMessage="1" xr:uid="{ACB589DC-6ACE-4E0A-A358-D8CBA7A472A3}">
          <x14:formula1>
            <xm:f>NuevoCuadroDatos!$C$23:$C$24</xm:f>
          </x14:formula1>
          <xm:sqref>M42</xm:sqref>
        </x14:dataValidation>
        <x14:dataValidation type="list" allowBlank="1" showInputMessage="1" showErrorMessage="1" xr:uid="{570245F5-4DD6-43C2-91C1-74ABC9D045C6}">
          <x14:formula1>
            <xm:f>NuevoCuadroDatos!$C$25:$C$26</xm:f>
          </x14:formula1>
          <xm:sqref>M54</xm:sqref>
        </x14:dataValidation>
        <x14:dataValidation type="list" allowBlank="1" showInputMessage="1" showErrorMessage="1" xr:uid="{7F54ECE8-8067-4A7E-9339-4F090D3F8D36}">
          <x14:formula1>
            <xm:f>NuevoCuadroDatos!$C$27:$C$28</xm:f>
          </x14:formula1>
          <xm:sqref>M66</xm:sqref>
        </x14:dataValidation>
        <x14:dataValidation type="list" allowBlank="1" showInputMessage="1" showErrorMessage="1" xr:uid="{AB4683BC-4D62-4063-AE93-23F705FF06E1}">
          <x14:formula1>
            <xm:f>NuevoCuadroDatos!$C$29:$C$30</xm:f>
          </x14:formula1>
          <xm:sqref>M78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4B50-987C-457A-B40D-45C8001AC54E}">
  <sheetPr codeName="Sheet2"/>
  <dimension ref="A1:I128"/>
  <sheetViews>
    <sheetView workbookViewId="0">
      <selection activeCell="B1" sqref="B1:B64"/>
    </sheetView>
  </sheetViews>
  <sheetFormatPr defaultRowHeight="14.5" x14ac:dyDescent="0.35"/>
  <sheetData>
    <row r="1" spans="1:9" x14ac:dyDescent="0.35">
      <c r="A1">
        <f>Resultados!A1</f>
        <v>1</v>
      </c>
      <c r="B1">
        <f>Resultados!B1</f>
        <v>0</v>
      </c>
      <c r="C1">
        <f>NuevoCuadro!C3</f>
        <v>0</v>
      </c>
      <c r="D1">
        <f>NuevoCuadro!D6</f>
        <v>0</v>
      </c>
      <c r="E1">
        <f>NuevoCuadro!E12</f>
        <v>0</v>
      </c>
      <c r="F1">
        <f>NuevoCuadro!F33</f>
        <v>0</v>
      </c>
      <c r="G1">
        <f>NuevoCuadro!G48</f>
        <v>0</v>
      </c>
      <c r="H1">
        <f>NuevoCuadro!H45</f>
        <v>0</v>
      </c>
      <c r="I1">
        <f>NuevoCuadro!H34</f>
        <v>0</v>
      </c>
    </row>
    <row r="2" spans="1:9" x14ac:dyDescent="0.35">
      <c r="A2">
        <f>Resultados!A2</f>
        <v>2</v>
      </c>
      <c r="B2">
        <f>Resultados!B2</f>
        <v>0</v>
      </c>
      <c r="C2">
        <f>NuevoCuadro!C9</f>
        <v>0</v>
      </c>
      <c r="D2">
        <f>NuevoCuadro!D18</f>
        <v>0</v>
      </c>
      <c r="E2">
        <f>NuevoCuadro!E36</f>
        <v>0</v>
      </c>
      <c r="F2">
        <f>NuevoCuadro!F69</f>
        <v>0</v>
      </c>
      <c r="G2">
        <f>NuevoCuadro!J48</f>
        <v>0</v>
      </c>
    </row>
    <row r="3" spans="1:9" x14ac:dyDescent="0.35">
      <c r="A3">
        <f>Resultados!A3</f>
        <v>3</v>
      </c>
      <c r="B3">
        <f>Resultados!B3</f>
        <v>0</v>
      </c>
      <c r="C3">
        <f>NuevoCuadro!C15</f>
        <v>0</v>
      </c>
      <c r="D3">
        <f>NuevoCuadro!D30</f>
        <v>0</v>
      </c>
      <c r="E3">
        <f>NuevoCuadro!E60</f>
        <v>0</v>
      </c>
      <c r="F3">
        <f>NuevoCuadro!K33</f>
        <v>0</v>
      </c>
    </row>
    <row r="4" spans="1:9" x14ac:dyDescent="0.35">
      <c r="A4">
        <f>Resultados!A4</f>
        <v>4</v>
      </c>
      <c r="B4">
        <f>Resultados!B4</f>
        <v>0</v>
      </c>
      <c r="C4">
        <f>NuevoCuadro!C21</f>
        <v>0</v>
      </c>
      <c r="D4">
        <f>NuevoCuadro!D42</f>
        <v>0</v>
      </c>
      <c r="E4">
        <f>NuevoCuadro!E84</f>
        <v>0</v>
      </c>
      <c r="F4">
        <f>NuevoCuadro!K69</f>
        <v>0</v>
      </c>
    </row>
    <row r="5" spans="1:9" x14ac:dyDescent="0.35">
      <c r="A5">
        <f>Resultados!A5</f>
        <v>5</v>
      </c>
      <c r="B5">
        <f>Resultados!B5</f>
        <v>0</v>
      </c>
      <c r="C5">
        <f>NuevoCuadro!C27</f>
        <v>0</v>
      </c>
      <c r="D5">
        <f>NuevoCuadro!D54</f>
        <v>0</v>
      </c>
      <c r="E5">
        <f>NuevoCuadro!L12</f>
        <v>0</v>
      </c>
    </row>
    <row r="6" spans="1:9" x14ac:dyDescent="0.35">
      <c r="A6">
        <f>Resultados!A6</f>
        <v>6</v>
      </c>
      <c r="B6">
        <f>Resultados!B6</f>
        <v>0</v>
      </c>
      <c r="C6">
        <f>NuevoCuadro!C33</f>
        <v>0</v>
      </c>
      <c r="D6">
        <f>NuevoCuadro!D66</f>
        <v>0</v>
      </c>
      <c r="E6">
        <f>NuevoCuadro!L36</f>
        <v>0</v>
      </c>
    </row>
    <row r="7" spans="1:9" x14ac:dyDescent="0.35">
      <c r="A7">
        <f>Resultados!A7</f>
        <v>7</v>
      </c>
      <c r="B7">
        <f>Resultados!B7</f>
        <v>0</v>
      </c>
      <c r="C7">
        <f>NuevoCuadro!C39</f>
        <v>0</v>
      </c>
      <c r="D7">
        <f>NuevoCuadro!D78</f>
        <v>0</v>
      </c>
      <c r="E7">
        <f>NuevoCuadro!L60</f>
        <v>0</v>
      </c>
    </row>
    <row r="8" spans="1:9" x14ac:dyDescent="0.35">
      <c r="A8">
        <f>Resultados!A8</f>
        <v>8</v>
      </c>
      <c r="B8">
        <f>Resultados!B8</f>
        <v>0</v>
      </c>
      <c r="C8">
        <f>NuevoCuadro!C45</f>
        <v>0</v>
      </c>
      <c r="D8">
        <f>NuevoCuadro!D90</f>
        <v>0</v>
      </c>
      <c r="E8">
        <f>NuevoCuadro!L84</f>
        <v>0</v>
      </c>
    </row>
    <row r="9" spans="1:9" x14ac:dyDescent="0.35">
      <c r="A9">
        <f>Resultados!A9</f>
        <v>9</v>
      </c>
      <c r="B9">
        <f>Resultados!B9</f>
        <v>0</v>
      </c>
      <c r="C9">
        <f>NuevoCuadro!C51</f>
        <v>0</v>
      </c>
      <c r="D9">
        <f>NuevoCuadro!M6</f>
        <v>0</v>
      </c>
    </row>
    <row r="10" spans="1:9" x14ac:dyDescent="0.35">
      <c r="A10">
        <f>Resultados!A10</f>
        <v>10</v>
      </c>
      <c r="B10">
        <f>Resultados!B10</f>
        <v>0</v>
      </c>
      <c r="C10">
        <f>NuevoCuadro!C57</f>
        <v>0</v>
      </c>
      <c r="D10">
        <f>NuevoCuadro!M18</f>
        <v>0</v>
      </c>
    </row>
    <row r="11" spans="1:9" x14ac:dyDescent="0.35">
      <c r="A11">
        <f>Resultados!A11</f>
        <v>11</v>
      </c>
      <c r="B11">
        <f>Resultados!B11</f>
        <v>0</v>
      </c>
      <c r="C11">
        <f>NuevoCuadro!C63</f>
        <v>0</v>
      </c>
      <c r="D11">
        <f>NuevoCuadro!M30</f>
        <v>0</v>
      </c>
    </row>
    <row r="12" spans="1:9" x14ac:dyDescent="0.35">
      <c r="A12">
        <f>Resultados!A12</f>
        <v>12</v>
      </c>
      <c r="B12">
        <f>Resultados!B12</f>
        <v>0</v>
      </c>
      <c r="C12">
        <f>NuevoCuadro!C69</f>
        <v>0</v>
      </c>
      <c r="D12">
        <f>NuevoCuadro!M42</f>
        <v>0</v>
      </c>
    </row>
    <row r="13" spans="1:9" x14ac:dyDescent="0.35">
      <c r="A13">
        <f>Resultados!A13</f>
        <v>13</v>
      </c>
      <c r="B13">
        <f>Resultados!B13</f>
        <v>0</v>
      </c>
      <c r="C13">
        <f>NuevoCuadro!C75</f>
        <v>0</v>
      </c>
      <c r="D13">
        <f>NuevoCuadro!M54</f>
        <v>0</v>
      </c>
    </row>
    <row r="14" spans="1:9" x14ac:dyDescent="0.35">
      <c r="A14">
        <f>Resultados!A14</f>
        <v>14</v>
      </c>
      <c r="B14">
        <f>Resultados!B14</f>
        <v>0</v>
      </c>
      <c r="C14">
        <f>NuevoCuadro!C81</f>
        <v>0</v>
      </c>
      <c r="D14">
        <f>NuevoCuadro!M66</f>
        <v>0</v>
      </c>
    </row>
    <row r="15" spans="1:9" x14ac:dyDescent="0.35">
      <c r="A15">
        <f>Resultados!A15</f>
        <v>15</v>
      </c>
      <c r="B15">
        <f>Resultados!B15</f>
        <v>0</v>
      </c>
      <c r="C15">
        <f>NuevoCuadro!C87</f>
        <v>0</v>
      </c>
      <c r="D15">
        <f>NuevoCuadro!M78</f>
        <v>0</v>
      </c>
    </row>
    <row r="16" spans="1:9" x14ac:dyDescent="0.35">
      <c r="A16">
        <f>Resultados!A16</f>
        <v>16</v>
      </c>
      <c r="B16">
        <f>Resultados!B16</f>
        <v>0</v>
      </c>
      <c r="C16">
        <f>NuevoCuadro!C93</f>
        <v>0</v>
      </c>
      <c r="D16">
        <f>NuevoCuadro!M90</f>
        <v>0</v>
      </c>
    </row>
    <row r="17" spans="1:3" x14ac:dyDescent="0.35">
      <c r="A17">
        <f>Resultados!A17</f>
        <v>17</v>
      </c>
      <c r="B17">
        <f>Resultados!B17</f>
        <v>0</v>
      </c>
      <c r="C17">
        <f>NuevoCuadro!N3</f>
        <v>0</v>
      </c>
    </row>
    <row r="18" spans="1:3" x14ac:dyDescent="0.35">
      <c r="A18">
        <f>Resultados!A18</f>
        <v>18</v>
      </c>
      <c r="B18">
        <f>Resultados!B18</f>
        <v>0</v>
      </c>
      <c r="C18">
        <f>NuevoCuadro!N9</f>
        <v>0</v>
      </c>
    </row>
    <row r="19" spans="1:3" x14ac:dyDescent="0.35">
      <c r="A19">
        <f>Resultados!A19</f>
        <v>19</v>
      </c>
      <c r="B19">
        <f>Resultados!B19</f>
        <v>0</v>
      </c>
      <c r="C19">
        <f>NuevoCuadro!N15</f>
        <v>0</v>
      </c>
    </row>
    <row r="20" spans="1:3" x14ac:dyDescent="0.35">
      <c r="A20">
        <f>Resultados!A20</f>
        <v>20</v>
      </c>
      <c r="B20">
        <f>Resultados!B20</f>
        <v>0</v>
      </c>
      <c r="C20">
        <f>NuevoCuadro!N21</f>
        <v>0</v>
      </c>
    </row>
    <row r="21" spans="1:3" x14ac:dyDescent="0.35">
      <c r="A21">
        <f>Resultados!A21</f>
        <v>21</v>
      </c>
      <c r="B21">
        <f>Resultados!B21</f>
        <v>0</v>
      </c>
      <c r="C21">
        <f>NuevoCuadro!N27</f>
        <v>0</v>
      </c>
    </row>
    <row r="22" spans="1:3" x14ac:dyDescent="0.35">
      <c r="A22">
        <f>Resultados!A22</f>
        <v>22</v>
      </c>
      <c r="B22">
        <f>Resultados!B22</f>
        <v>0</v>
      </c>
      <c r="C22">
        <f>NuevoCuadro!N33</f>
        <v>0</v>
      </c>
    </row>
    <row r="23" spans="1:3" x14ac:dyDescent="0.35">
      <c r="A23">
        <f>Resultados!A23</f>
        <v>23</v>
      </c>
      <c r="B23">
        <f>Resultados!B23</f>
        <v>0</v>
      </c>
      <c r="C23">
        <f>NuevoCuadro!N39</f>
        <v>0</v>
      </c>
    </row>
    <row r="24" spans="1:3" x14ac:dyDescent="0.35">
      <c r="A24">
        <f>Resultados!A24</f>
        <v>24</v>
      </c>
      <c r="B24">
        <f>Resultados!B24</f>
        <v>0</v>
      </c>
      <c r="C24">
        <f>NuevoCuadro!N45</f>
        <v>0</v>
      </c>
    </row>
    <row r="25" spans="1:3" x14ac:dyDescent="0.35">
      <c r="A25">
        <f>Resultados!A25</f>
        <v>25</v>
      </c>
      <c r="B25">
        <f>Resultados!B25</f>
        <v>0</v>
      </c>
      <c r="C25">
        <f>NuevoCuadro!N51</f>
        <v>0</v>
      </c>
    </row>
    <row r="26" spans="1:3" x14ac:dyDescent="0.35">
      <c r="A26">
        <f>Resultados!A26</f>
        <v>26</v>
      </c>
      <c r="B26">
        <f>Resultados!B26</f>
        <v>0</v>
      </c>
      <c r="C26">
        <f>NuevoCuadro!N57</f>
        <v>0</v>
      </c>
    </row>
    <row r="27" spans="1:3" x14ac:dyDescent="0.35">
      <c r="A27">
        <f>Resultados!A27</f>
        <v>27</v>
      </c>
      <c r="B27">
        <f>Resultados!B27</f>
        <v>0</v>
      </c>
      <c r="C27">
        <f>NuevoCuadro!N63</f>
        <v>0</v>
      </c>
    </row>
    <row r="28" spans="1:3" x14ac:dyDescent="0.35">
      <c r="A28">
        <f>Resultados!A28</f>
        <v>28</v>
      </c>
      <c r="B28">
        <f>Resultados!B28</f>
        <v>0</v>
      </c>
      <c r="C28">
        <f>NuevoCuadro!N69</f>
        <v>0</v>
      </c>
    </row>
    <row r="29" spans="1:3" x14ac:dyDescent="0.35">
      <c r="A29">
        <f>Resultados!A29</f>
        <v>29</v>
      </c>
      <c r="B29">
        <f>Resultados!B29</f>
        <v>0</v>
      </c>
      <c r="C29">
        <f>NuevoCuadro!N75</f>
        <v>0</v>
      </c>
    </row>
    <row r="30" spans="1:3" x14ac:dyDescent="0.35">
      <c r="A30">
        <f>Resultados!A30</f>
        <v>30</v>
      </c>
      <c r="B30">
        <f>Resultados!B30</f>
        <v>0</v>
      </c>
      <c r="C30">
        <f>NuevoCuadro!N81</f>
        <v>0</v>
      </c>
    </row>
    <row r="31" spans="1:3" x14ac:dyDescent="0.35">
      <c r="A31">
        <f>Resultados!A31</f>
        <v>31</v>
      </c>
      <c r="B31">
        <f>Resultados!B31</f>
        <v>0</v>
      </c>
      <c r="C31">
        <f>NuevoCuadro!N87</f>
        <v>0</v>
      </c>
    </row>
    <row r="32" spans="1:3" x14ac:dyDescent="0.35">
      <c r="A32">
        <f>Resultados!A32</f>
        <v>32</v>
      </c>
      <c r="B32">
        <f>Resultados!B32</f>
        <v>0</v>
      </c>
      <c r="C32">
        <f>NuevoCuadro!N93</f>
        <v>0</v>
      </c>
    </row>
    <row r="33" spans="1:2" x14ac:dyDescent="0.35">
      <c r="A33">
        <f>Resultados!A33</f>
        <v>33</v>
      </c>
      <c r="B33">
        <f>Resultados!B33</f>
        <v>0</v>
      </c>
    </row>
    <row r="34" spans="1:2" x14ac:dyDescent="0.35">
      <c r="A34">
        <f>Resultados!A34</f>
        <v>34</v>
      </c>
      <c r="B34">
        <f>Resultados!B34</f>
        <v>0</v>
      </c>
    </row>
    <row r="35" spans="1:2" x14ac:dyDescent="0.35">
      <c r="A35">
        <f>Resultados!A35</f>
        <v>35</v>
      </c>
      <c r="B35">
        <f>Resultados!B35</f>
        <v>0</v>
      </c>
    </row>
    <row r="36" spans="1:2" x14ac:dyDescent="0.35">
      <c r="A36">
        <f>Resultados!A36</f>
        <v>36</v>
      </c>
      <c r="B36">
        <f>Resultados!B36</f>
        <v>0</v>
      </c>
    </row>
    <row r="37" spans="1:2" x14ac:dyDescent="0.35">
      <c r="A37">
        <f>Resultados!A37</f>
        <v>37</v>
      </c>
      <c r="B37">
        <f>Resultados!B37</f>
        <v>0</v>
      </c>
    </row>
    <row r="38" spans="1:2" x14ac:dyDescent="0.35">
      <c r="A38">
        <f>Resultados!A38</f>
        <v>38</v>
      </c>
      <c r="B38">
        <f>Resultados!B38</f>
        <v>0</v>
      </c>
    </row>
    <row r="39" spans="1:2" x14ac:dyDescent="0.35">
      <c r="A39">
        <f>Resultados!A39</f>
        <v>39</v>
      </c>
      <c r="B39">
        <f>Resultados!B39</f>
        <v>0</v>
      </c>
    </row>
    <row r="40" spans="1:2" x14ac:dyDescent="0.35">
      <c r="A40">
        <f>Resultados!A40</f>
        <v>40</v>
      </c>
      <c r="B40">
        <f>Resultados!B40</f>
        <v>0</v>
      </c>
    </row>
    <row r="41" spans="1:2" x14ac:dyDescent="0.35">
      <c r="A41">
        <f>Resultados!A41</f>
        <v>41</v>
      </c>
      <c r="B41">
        <f>Resultados!B41</f>
        <v>0</v>
      </c>
    </row>
    <row r="42" spans="1:2" x14ac:dyDescent="0.35">
      <c r="A42">
        <f>Resultados!A42</f>
        <v>42</v>
      </c>
      <c r="B42">
        <f>Resultados!B42</f>
        <v>0</v>
      </c>
    </row>
    <row r="43" spans="1:2" x14ac:dyDescent="0.35">
      <c r="A43">
        <f>Resultados!A43</f>
        <v>43</v>
      </c>
      <c r="B43">
        <f>Resultados!B43</f>
        <v>0</v>
      </c>
    </row>
    <row r="44" spans="1:2" x14ac:dyDescent="0.35">
      <c r="A44">
        <f>Resultados!A44</f>
        <v>44</v>
      </c>
      <c r="B44">
        <f>Resultados!B44</f>
        <v>0</v>
      </c>
    </row>
    <row r="45" spans="1:2" x14ac:dyDescent="0.35">
      <c r="A45">
        <f>Resultados!A45</f>
        <v>45</v>
      </c>
      <c r="B45">
        <f>Resultados!B45</f>
        <v>0</v>
      </c>
    </row>
    <row r="46" spans="1:2" x14ac:dyDescent="0.35">
      <c r="A46">
        <f>Resultados!A46</f>
        <v>46</v>
      </c>
      <c r="B46">
        <f>Resultados!B46</f>
        <v>0</v>
      </c>
    </row>
    <row r="47" spans="1:2" x14ac:dyDescent="0.35">
      <c r="A47">
        <f>Resultados!A47</f>
        <v>47</v>
      </c>
      <c r="B47">
        <f>Resultados!B47</f>
        <v>0</v>
      </c>
    </row>
    <row r="48" spans="1:2" x14ac:dyDescent="0.35">
      <c r="A48">
        <f>Resultados!A48</f>
        <v>48</v>
      </c>
      <c r="B48">
        <f>Resultados!B48</f>
        <v>0</v>
      </c>
    </row>
    <row r="49" spans="1:2" x14ac:dyDescent="0.35">
      <c r="A49">
        <f>Resultados!A49</f>
        <v>49</v>
      </c>
      <c r="B49">
        <f>Resultados!B49</f>
        <v>0</v>
      </c>
    </row>
    <row r="50" spans="1:2" x14ac:dyDescent="0.35">
      <c r="A50">
        <f>Resultados!A50</f>
        <v>50</v>
      </c>
      <c r="B50">
        <f>Resultados!B50</f>
        <v>0</v>
      </c>
    </row>
    <row r="51" spans="1:2" x14ac:dyDescent="0.35">
      <c r="A51">
        <f>Resultados!A51</f>
        <v>51</v>
      </c>
      <c r="B51">
        <f>Resultados!B51</f>
        <v>0</v>
      </c>
    </row>
    <row r="52" spans="1:2" x14ac:dyDescent="0.35">
      <c r="A52">
        <f>Resultados!A52</f>
        <v>52</v>
      </c>
      <c r="B52">
        <f>Resultados!B52</f>
        <v>0</v>
      </c>
    </row>
    <row r="53" spans="1:2" x14ac:dyDescent="0.35">
      <c r="A53">
        <f>Resultados!A53</f>
        <v>53</v>
      </c>
      <c r="B53">
        <f>Resultados!B53</f>
        <v>0</v>
      </c>
    </row>
    <row r="54" spans="1:2" x14ac:dyDescent="0.35">
      <c r="A54">
        <f>Resultados!A54</f>
        <v>54</v>
      </c>
      <c r="B54">
        <f>Resultados!B54</f>
        <v>0</v>
      </c>
    </row>
    <row r="55" spans="1:2" x14ac:dyDescent="0.35">
      <c r="A55">
        <f>Resultados!A55</f>
        <v>55</v>
      </c>
      <c r="B55">
        <f>Resultados!B55</f>
        <v>0</v>
      </c>
    </row>
    <row r="56" spans="1:2" x14ac:dyDescent="0.35">
      <c r="A56">
        <f>Resultados!A56</f>
        <v>56</v>
      </c>
      <c r="B56">
        <f>Resultados!B56</f>
        <v>0</v>
      </c>
    </row>
    <row r="57" spans="1:2" x14ac:dyDescent="0.35">
      <c r="A57">
        <f>Resultados!A57</f>
        <v>57</v>
      </c>
      <c r="B57">
        <f>Resultados!B57</f>
        <v>0</v>
      </c>
    </row>
    <row r="58" spans="1:2" x14ac:dyDescent="0.35">
      <c r="A58">
        <f>Resultados!A58</f>
        <v>58</v>
      </c>
      <c r="B58">
        <f>Resultados!B58</f>
        <v>0</v>
      </c>
    </row>
    <row r="59" spans="1:2" x14ac:dyDescent="0.35">
      <c r="A59">
        <f>Resultados!A59</f>
        <v>59</v>
      </c>
      <c r="B59">
        <f>Resultados!B59</f>
        <v>0</v>
      </c>
    </row>
    <row r="60" spans="1:2" x14ac:dyDescent="0.35">
      <c r="A60">
        <f>Resultados!A60</f>
        <v>60</v>
      </c>
      <c r="B60">
        <f>Resultados!B60</f>
        <v>0</v>
      </c>
    </row>
    <row r="61" spans="1:2" x14ac:dyDescent="0.35">
      <c r="A61">
        <f>Resultados!A61</f>
        <v>61</v>
      </c>
      <c r="B61">
        <f>Resultados!B61</f>
        <v>0</v>
      </c>
    </row>
    <row r="62" spans="1:2" x14ac:dyDescent="0.35">
      <c r="A62">
        <f>Resultados!A62</f>
        <v>62</v>
      </c>
      <c r="B62">
        <f>Resultados!B62</f>
        <v>0</v>
      </c>
    </row>
    <row r="63" spans="1:2" x14ac:dyDescent="0.35">
      <c r="A63">
        <f>Resultados!A63</f>
        <v>63</v>
      </c>
      <c r="B63">
        <f>Resultados!B63</f>
        <v>0</v>
      </c>
    </row>
    <row r="64" spans="1:2" x14ac:dyDescent="0.35">
      <c r="A64">
        <f>Resultados!A64</f>
        <v>64</v>
      </c>
      <c r="B64">
        <f>Resultados!B64</f>
        <v>0</v>
      </c>
    </row>
    <row r="65" spans="1:1" x14ac:dyDescent="0.35">
      <c r="A65">
        <f>Resultados!A65</f>
        <v>65</v>
      </c>
    </row>
    <row r="66" spans="1:1" x14ac:dyDescent="0.35">
      <c r="A66">
        <f>Resultados!A66</f>
        <v>66</v>
      </c>
    </row>
    <row r="67" spans="1:1" x14ac:dyDescent="0.35">
      <c r="A67">
        <f>Resultados!A67</f>
        <v>67</v>
      </c>
    </row>
    <row r="68" spans="1:1" x14ac:dyDescent="0.35">
      <c r="A68">
        <f>Resultados!A68</f>
        <v>68</v>
      </c>
    </row>
    <row r="69" spans="1:1" x14ac:dyDescent="0.35">
      <c r="A69">
        <f>Resultados!A69</f>
        <v>69</v>
      </c>
    </row>
    <row r="70" spans="1:1" x14ac:dyDescent="0.35">
      <c r="A70">
        <f>Resultados!A70</f>
        <v>70</v>
      </c>
    </row>
    <row r="71" spans="1:1" x14ac:dyDescent="0.35">
      <c r="A71">
        <f>Resultados!A71</f>
        <v>71</v>
      </c>
    </row>
    <row r="72" spans="1:1" x14ac:dyDescent="0.35">
      <c r="A72">
        <f>Resultados!A72</f>
        <v>72</v>
      </c>
    </row>
    <row r="73" spans="1:1" x14ac:dyDescent="0.35">
      <c r="A73">
        <f>Resultados!A73</f>
        <v>73</v>
      </c>
    </row>
    <row r="74" spans="1:1" x14ac:dyDescent="0.35">
      <c r="A74">
        <f>Resultados!A74</f>
        <v>74</v>
      </c>
    </row>
    <row r="75" spans="1:1" x14ac:dyDescent="0.35">
      <c r="A75">
        <f>Resultados!A75</f>
        <v>75</v>
      </c>
    </row>
    <row r="76" spans="1:1" x14ac:dyDescent="0.35">
      <c r="A76">
        <f>Resultados!A76</f>
        <v>76</v>
      </c>
    </row>
    <row r="77" spans="1:1" x14ac:dyDescent="0.35">
      <c r="A77">
        <f>Resultados!A77</f>
        <v>77</v>
      </c>
    </row>
    <row r="78" spans="1:1" x14ac:dyDescent="0.35">
      <c r="A78">
        <f>Resultados!A78</f>
        <v>78</v>
      </c>
    </row>
    <row r="79" spans="1:1" x14ac:dyDescent="0.35">
      <c r="A79">
        <f>Resultados!A79</f>
        <v>79</v>
      </c>
    </row>
    <row r="80" spans="1:1" x14ac:dyDescent="0.35">
      <c r="A80">
        <f>Resultados!A80</f>
        <v>80</v>
      </c>
    </row>
    <row r="81" spans="1:1" x14ac:dyDescent="0.35">
      <c r="A81">
        <f>Resultados!A81</f>
        <v>81</v>
      </c>
    </row>
    <row r="82" spans="1:1" x14ac:dyDescent="0.35">
      <c r="A82">
        <f>Resultados!A82</f>
        <v>82</v>
      </c>
    </row>
    <row r="83" spans="1:1" x14ac:dyDescent="0.35">
      <c r="A83">
        <f>Resultados!A83</f>
        <v>83</v>
      </c>
    </row>
    <row r="84" spans="1:1" x14ac:dyDescent="0.35">
      <c r="A84">
        <f>Resultados!A84</f>
        <v>84</v>
      </c>
    </row>
    <row r="85" spans="1:1" x14ac:dyDescent="0.35">
      <c r="A85">
        <f>Resultados!A85</f>
        <v>85</v>
      </c>
    </row>
    <row r="86" spans="1:1" x14ac:dyDescent="0.35">
      <c r="A86">
        <f>Resultados!A86</f>
        <v>86</v>
      </c>
    </row>
    <row r="87" spans="1:1" x14ac:dyDescent="0.35">
      <c r="A87">
        <f>Resultados!A87</f>
        <v>87</v>
      </c>
    </row>
    <row r="88" spans="1:1" x14ac:dyDescent="0.35">
      <c r="A88">
        <f>Resultados!A88</f>
        <v>88</v>
      </c>
    </row>
    <row r="89" spans="1:1" x14ac:dyDescent="0.35">
      <c r="A89">
        <f>Resultados!A89</f>
        <v>89</v>
      </c>
    </row>
    <row r="90" spans="1:1" x14ac:dyDescent="0.35">
      <c r="A90">
        <f>Resultados!A90</f>
        <v>90</v>
      </c>
    </row>
    <row r="91" spans="1:1" x14ac:dyDescent="0.35">
      <c r="A91">
        <f>Resultados!A91</f>
        <v>91</v>
      </c>
    </row>
    <row r="92" spans="1:1" x14ac:dyDescent="0.35">
      <c r="A92">
        <f>Resultados!A92</f>
        <v>92</v>
      </c>
    </row>
    <row r="93" spans="1:1" x14ac:dyDescent="0.35">
      <c r="A93">
        <f>Resultados!A93</f>
        <v>93</v>
      </c>
    </row>
    <row r="94" spans="1:1" x14ac:dyDescent="0.35">
      <c r="A94">
        <f>Resultados!A94</f>
        <v>94</v>
      </c>
    </row>
    <row r="95" spans="1:1" x14ac:dyDescent="0.35">
      <c r="A95">
        <f>Resultados!A95</f>
        <v>95</v>
      </c>
    </row>
    <row r="96" spans="1:1" x14ac:dyDescent="0.35">
      <c r="A96">
        <f>Resultados!A96</f>
        <v>96</v>
      </c>
    </row>
    <row r="97" spans="1:1" x14ac:dyDescent="0.35">
      <c r="A97">
        <f>Resultados!A97</f>
        <v>97</v>
      </c>
    </row>
    <row r="98" spans="1:1" x14ac:dyDescent="0.35">
      <c r="A98">
        <f>Resultados!A98</f>
        <v>98</v>
      </c>
    </row>
    <row r="99" spans="1:1" x14ac:dyDescent="0.35">
      <c r="A99">
        <f>Resultados!A99</f>
        <v>99</v>
      </c>
    </row>
    <row r="100" spans="1:1" x14ac:dyDescent="0.35">
      <c r="A100">
        <f>Resultados!A100</f>
        <v>100</v>
      </c>
    </row>
    <row r="101" spans="1:1" x14ac:dyDescent="0.35">
      <c r="A101">
        <f>Resultados!A101</f>
        <v>101</v>
      </c>
    </row>
    <row r="102" spans="1:1" x14ac:dyDescent="0.35">
      <c r="A102">
        <f>Resultados!A102</f>
        <v>102</v>
      </c>
    </row>
    <row r="103" spans="1:1" x14ac:dyDescent="0.35">
      <c r="A103">
        <f>Resultados!A103</f>
        <v>103</v>
      </c>
    </row>
    <row r="104" spans="1:1" x14ac:dyDescent="0.35">
      <c r="A104">
        <f>Resultados!A104</f>
        <v>104</v>
      </c>
    </row>
    <row r="105" spans="1:1" x14ac:dyDescent="0.35">
      <c r="A105">
        <f>Resultados!A105</f>
        <v>105</v>
      </c>
    </row>
    <row r="106" spans="1:1" x14ac:dyDescent="0.35">
      <c r="A106">
        <f>Resultados!A106</f>
        <v>106</v>
      </c>
    </row>
    <row r="107" spans="1:1" x14ac:dyDescent="0.35">
      <c r="A107">
        <f>Resultados!A107</f>
        <v>107</v>
      </c>
    </row>
    <row r="108" spans="1:1" x14ac:dyDescent="0.35">
      <c r="A108">
        <f>Resultados!A108</f>
        <v>108</v>
      </c>
    </row>
    <row r="109" spans="1:1" x14ac:dyDescent="0.35">
      <c r="A109">
        <f>Resultados!A109</f>
        <v>109</v>
      </c>
    </row>
    <row r="110" spans="1:1" x14ac:dyDescent="0.35">
      <c r="A110">
        <f>Resultados!A110</f>
        <v>110</v>
      </c>
    </row>
    <row r="111" spans="1:1" x14ac:dyDescent="0.35">
      <c r="A111">
        <f>Resultados!A111</f>
        <v>111</v>
      </c>
    </row>
    <row r="112" spans="1:1" x14ac:dyDescent="0.35">
      <c r="A112">
        <f>Resultados!A112</f>
        <v>112</v>
      </c>
    </row>
    <row r="113" spans="1:1" x14ac:dyDescent="0.35">
      <c r="A113">
        <f>Resultados!A113</f>
        <v>113</v>
      </c>
    </row>
    <row r="114" spans="1:1" x14ac:dyDescent="0.35">
      <c r="A114">
        <f>Resultados!A114</f>
        <v>114</v>
      </c>
    </row>
    <row r="115" spans="1:1" x14ac:dyDescent="0.35">
      <c r="A115">
        <f>Resultados!A115</f>
        <v>115</v>
      </c>
    </row>
    <row r="116" spans="1:1" x14ac:dyDescent="0.35">
      <c r="A116">
        <f>Resultados!A116</f>
        <v>116</v>
      </c>
    </row>
    <row r="117" spans="1:1" x14ac:dyDescent="0.35">
      <c r="A117">
        <f>Resultados!A117</f>
        <v>117</v>
      </c>
    </row>
    <row r="118" spans="1:1" x14ac:dyDescent="0.35">
      <c r="A118">
        <f>Resultados!A118</f>
        <v>118</v>
      </c>
    </row>
    <row r="119" spans="1:1" x14ac:dyDescent="0.35">
      <c r="A119">
        <f>Resultados!A119</f>
        <v>119</v>
      </c>
    </row>
    <row r="120" spans="1:1" x14ac:dyDescent="0.35">
      <c r="A120">
        <f>Resultados!A120</f>
        <v>120</v>
      </c>
    </row>
    <row r="121" spans="1:1" x14ac:dyDescent="0.35">
      <c r="A121">
        <f>Resultados!A121</f>
        <v>121</v>
      </c>
    </row>
    <row r="122" spans="1:1" x14ac:dyDescent="0.35">
      <c r="A122">
        <f>Resultados!A122</f>
        <v>122</v>
      </c>
    </row>
    <row r="123" spans="1:1" x14ac:dyDescent="0.35">
      <c r="A123">
        <f>Resultados!A123</f>
        <v>123</v>
      </c>
    </row>
    <row r="124" spans="1:1" x14ac:dyDescent="0.35">
      <c r="A124">
        <f>Resultados!A124</f>
        <v>124</v>
      </c>
    </row>
    <row r="125" spans="1:1" x14ac:dyDescent="0.35">
      <c r="A125">
        <f>Resultados!A125</f>
        <v>125</v>
      </c>
    </row>
    <row r="126" spans="1:1" x14ac:dyDescent="0.35">
      <c r="A126">
        <f>Resultados!A126</f>
        <v>126</v>
      </c>
    </row>
    <row r="127" spans="1:1" x14ac:dyDescent="0.35">
      <c r="A127">
        <f>Resultados!A127</f>
        <v>127</v>
      </c>
    </row>
    <row r="128" spans="1:1" x14ac:dyDescent="0.35">
      <c r="A128">
        <f>Resultados!A128</f>
        <v>128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5C27-6C5F-4313-BBF9-FDA27DF6A0BE}">
  <sheetPr codeName="Sheet4"/>
  <dimension ref="A1:G6"/>
  <sheetViews>
    <sheetView workbookViewId="0">
      <selection activeCell="C6" sqref="C6"/>
    </sheetView>
  </sheetViews>
  <sheetFormatPr defaultRowHeight="14.5" x14ac:dyDescent="0.35"/>
  <cols>
    <col min="6" max="6" width="20.54296875" customWidth="1"/>
    <col min="7" max="8" width="3.81640625" customWidth="1"/>
  </cols>
  <sheetData>
    <row r="1" spans="1:7" x14ac:dyDescent="0.35">
      <c r="A1" t="s">
        <v>3</v>
      </c>
      <c r="B1" t="s">
        <v>2</v>
      </c>
      <c r="C1" t="s">
        <v>4</v>
      </c>
      <c r="D1" t="s">
        <v>5</v>
      </c>
      <c r="E1" t="s">
        <v>6</v>
      </c>
      <c r="F1" t="s">
        <v>10</v>
      </c>
      <c r="G1">
        <v>2</v>
      </c>
    </row>
    <row r="2" spans="1:7" x14ac:dyDescent="0.35">
      <c r="A2">
        <f>COUNTIF($D$2:$D$3,"&gt;"&amp;D2) +1</f>
        <v>1</v>
      </c>
      <c r="B2">
        <f>ListaPuntos!A2</f>
        <v>1</v>
      </c>
      <c r="C2" t="str">
        <f>ListaPuntos!B2</f>
        <v>user1</v>
      </c>
      <c r="D2">
        <f>ListaPuntos!DZ2</f>
        <v>0</v>
      </c>
      <c r="E2" s="23" t="str">
        <f>IF(A2/$G$1&lt;0.5, "Top "&amp; ROUND(A2/$G$1*100,0) &amp; "%","Bot "&amp; ROUND((1 - A2/$G$1)*100,0) &amp; "%")</f>
        <v>Bot 50%</v>
      </c>
    </row>
    <row r="3" spans="1:7" x14ac:dyDescent="0.35">
      <c r="A3">
        <f>COUNTIF($D$2:$D$3,"&gt;"&amp;D3) +1</f>
        <v>1</v>
      </c>
      <c r="B3">
        <f>ListaPuntos!A3</f>
        <v>2</v>
      </c>
      <c r="C3" t="str">
        <f>ListaPuntos!B3</f>
        <v>user2</v>
      </c>
      <c r="D3">
        <f>ListaPuntos!DZ3</f>
        <v>0</v>
      </c>
      <c r="E3" s="23" t="str">
        <f>IF(A3/$G$1&lt;0.5, "Top "&amp; ROUND(A3/$G$1*100,0) &amp; "%","Bot "&amp; ROUND((1 - A3/$G$1)*100,0) &amp; "%")</f>
        <v>Bot 50%</v>
      </c>
    </row>
    <row r="4" spans="1:7" x14ac:dyDescent="0.35">
      <c r="E4" s="23"/>
      <c r="F4" s="23"/>
    </row>
    <row r="5" spans="1:7" x14ac:dyDescent="0.35">
      <c r="E5" s="23"/>
      <c r="F5" s="23"/>
    </row>
    <row r="6" spans="1:7" x14ac:dyDescent="0.35">
      <c r="E6" s="23"/>
    </row>
  </sheetData>
  <sortState xmlns:xlrd2="http://schemas.microsoft.com/office/spreadsheetml/2017/richdata2" ref="A2:E3">
    <sortCondition ref="A2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Update_positions" altText="Actualizar">
                <anchor moveWithCells="1" sizeWithCells="1">
                  <from>
                    <xdr:col>5</xdr:col>
                    <xdr:colOff>12700</xdr:colOff>
                    <xdr:row>0</xdr:row>
                    <xdr:rowOff>0</xdr:rowOff>
                  </from>
                  <to>
                    <xdr:col>6</xdr:col>
                    <xdr:colOff>247650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255E-3AFA-43B8-A422-E24BCB76DB69}">
  <sheetPr codeName="Sheet6"/>
  <dimension ref="A1:A8"/>
  <sheetViews>
    <sheetView workbookViewId="0">
      <selection activeCell="A9" sqref="A9"/>
    </sheetView>
  </sheetViews>
  <sheetFormatPr defaultRowHeight="14.5" x14ac:dyDescent="0.35"/>
  <sheetData>
    <row r="1" spans="1:1" x14ac:dyDescent="0.35">
      <c r="A1" t="s">
        <v>7</v>
      </c>
    </row>
    <row r="2" spans="1:1" x14ac:dyDescent="0.35">
      <c r="A2">
        <v>1</v>
      </c>
    </row>
    <row r="3" spans="1:1" x14ac:dyDescent="0.35">
      <c r="A3">
        <v>2</v>
      </c>
    </row>
    <row r="4" spans="1:1" x14ac:dyDescent="0.35">
      <c r="A4">
        <v>3</v>
      </c>
    </row>
    <row r="5" spans="1:1" x14ac:dyDescent="0.35">
      <c r="A5">
        <v>5</v>
      </c>
    </row>
    <row r="6" spans="1:1" x14ac:dyDescent="0.35">
      <c r="A6">
        <v>7</v>
      </c>
    </row>
    <row r="7" spans="1:1" x14ac:dyDescent="0.35">
      <c r="A7">
        <v>10</v>
      </c>
    </row>
    <row r="8" spans="1:1" x14ac:dyDescent="0.35">
      <c r="A8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BE02-9345-4DF3-9FF7-5B27DA9D5F5A}">
  <sheetPr codeName="Sheet11"/>
  <dimension ref="A1:P96"/>
  <sheetViews>
    <sheetView showGridLines="0" zoomScale="85" zoomScaleNormal="85" workbookViewId="0">
      <selection activeCell="B2" sqref="B2"/>
    </sheetView>
  </sheetViews>
  <sheetFormatPr defaultRowHeight="14.5" x14ac:dyDescent="0.35"/>
  <cols>
    <col min="1" max="16" width="15.6328125" customWidth="1"/>
  </cols>
  <sheetData>
    <row r="1" spans="1:16" ht="16.5" thickTop="1" thickBot="1" x14ac:dyDescent="0.4">
      <c r="A1" s="24">
        <f>Resultados!A1</f>
        <v>1</v>
      </c>
      <c r="B1" s="25"/>
      <c r="C1" s="25"/>
      <c r="D1" s="25"/>
      <c r="E1" s="25"/>
      <c r="F1" s="25"/>
      <c r="G1" s="25"/>
      <c r="H1" s="25"/>
      <c r="J1" s="25"/>
      <c r="K1" s="25"/>
      <c r="L1" s="25"/>
      <c r="M1" s="25"/>
      <c r="N1" s="25"/>
      <c r="O1" s="26"/>
      <c r="P1" s="27">
        <f>Resultados!A65</f>
        <v>65</v>
      </c>
    </row>
    <row r="2" spans="1:16" ht="16.5" thickTop="1" thickBot="1" x14ac:dyDescent="0.4">
      <c r="A2" s="24">
        <f>Resultados!A2</f>
        <v>2</v>
      </c>
      <c r="B2" s="39" t="e">
        <f ca="1">INDIRECT("ListaCuadros!C"&amp;J2)</f>
        <v>#N/A</v>
      </c>
      <c r="C2" s="25"/>
      <c r="D2" s="25"/>
      <c r="E2" s="25"/>
      <c r="F2" s="25"/>
      <c r="H2" s="25" t="s">
        <v>4</v>
      </c>
      <c r="I2" s="38" t="s">
        <v>11</v>
      </c>
      <c r="J2" s="25" t="e">
        <f>MATCH(I2,ListaCuadros!B2:B1048576)+1</f>
        <v>#N/A</v>
      </c>
      <c r="K2" s="25"/>
      <c r="L2" s="25"/>
      <c r="M2" s="25"/>
      <c r="N2" s="25"/>
      <c r="O2" s="29" t="e">
        <f ca="1">INDIRECT("ListaCuadros!AI"&amp;J2)</f>
        <v>#N/A</v>
      </c>
      <c r="P2" s="28">
        <f>Resultados!A66</f>
        <v>66</v>
      </c>
    </row>
    <row r="3" spans="1:16" ht="16.5" thickTop="1" thickBot="1" x14ac:dyDescent="0.4">
      <c r="A3" s="30"/>
      <c r="B3" s="31"/>
      <c r="C3" s="32" t="e">
        <f ca="1">INDIRECT("ListaCuadros!BO"&amp;J2)</f>
        <v>#N/A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9" t="e">
        <f ca="1">INDIRECT("ListaCuadros!CE"&amp;J2)</f>
        <v>#N/A</v>
      </c>
      <c r="O3" s="25"/>
      <c r="P3" s="28"/>
    </row>
    <row r="4" spans="1:16" ht="16.5" thickTop="1" thickBot="1" x14ac:dyDescent="0.4">
      <c r="A4" s="29">
        <f>Resultados!A3</f>
        <v>3</v>
      </c>
      <c r="B4" s="33" t="e">
        <f ca="1">INDIRECT("ListaCuadros!D"&amp;J2)</f>
        <v>#N/A</v>
      </c>
      <c r="C4" s="31"/>
      <c r="D4" s="25"/>
      <c r="E4" s="25"/>
      <c r="F4" s="25"/>
      <c r="G4" s="25"/>
      <c r="H4" s="25"/>
      <c r="I4" s="25"/>
      <c r="J4" s="25"/>
      <c r="K4" s="25"/>
      <c r="L4" s="25"/>
      <c r="M4" s="26"/>
      <c r="N4" s="26"/>
      <c r="O4" s="33" t="e">
        <f ca="1">INDIRECT("ListaCuadros!AJ"&amp;J2)</f>
        <v>#N/A</v>
      </c>
      <c r="P4" s="28">
        <f>Resultados!A67</f>
        <v>67</v>
      </c>
    </row>
    <row r="5" spans="1:16" ht="16.5" thickTop="1" thickBot="1" x14ac:dyDescent="0.4">
      <c r="A5" s="24">
        <f>Resultados!A4</f>
        <v>4</v>
      </c>
      <c r="B5" s="25"/>
      <c r="C5" s="26"/>
      <c r="D5" s="25"/>
      <c r="E5" s="25"/>
      <c r="F5" s="25"/>
      <c r="G5" s="25"/>
      <c r="H5" s="25"/>
      <c r="I5" s="25"/>
      <c r="J5" s="25"/>
      <c r="K5" s="25"/>
      <c r="L5" s="25"/>
      <c r="M5" s="26"/>
      <c r="N5" s="25"/>
      <c r="O5" s="31"/>
      <c r="P5" s="28">
        <f>Resultados!A68</f>
        <v>68</v>
      </c>
    </row>
    <row r="6" spans="1:16" ht="16.5" thickTop="1" thickBot="1" x14ac:dyDescent="0.4">
      <c r="A6" s="30"/>
      <c r="B6" s="25"/>
      <c r="C6" s="26"/>
      <c r="D6" s="32" t="e">
        <f ca="1">INDIRECT("ListaCuadros!CU"&amp;J2)</f>
        <v>#N/A</v>
      </c>
      <c r="E6" s="25"/>
      <c r="F6" s="25"/>
      <c r="G6" s="25"/>
      <c r="H6" s="25"/>
      <c r="I6" s="25"/>
      <c r="J6" s="25"/>
      <c r="K6" s="25"/>
      <c r="L6" s="25"/>
      <c r="M6" s="29" t="e">
        <f ca="1">INDIRECT("ListaCuadros!DC"&amp;J2)</f>
        <v>#N/A</v>
      </c>
      <c r="N6" s="25"/>
      <c r="O6" s="25"/>
      <c r="P6" s="28"/>
    </row>
    <row r="7" spans="1:16" ht="16.5" thickTop="1" thickBot="1" x14ac:dyDescent="0.4">
      <c r="A7" s="24">
        <f>Resultados!A5</f>
        <v>5</v>
      </c>
      <c r="B7" s="25"/>
      <c r="C7" s="26"/>
      <c r="D7" s="31"/>
      <c r="E7" s="25"/>
      <c r="F7" s="25"/>
      <c r="G7" s="25"/>
      <c r="H7" s="25"/>
      <c r="I7" s="25"/>
      <c r="J7" s="25"/>
      <c r="K7" s="25"/>
      <c r="L7" s="26"/>
      <c r="M7" s="34"/>
      <c r="N7" s="25"/>
      <c r="O7" s="26"/>
      <c r="P7" s="28">
        <f>Resultados!A69</f>
        <v>69</v>
      </c>
    </row>
    <row r="8" spans="1:16" ht="16.5" thickTop="1" thickBot="1" x14ac:dyDescent="0.4">
      <c r="A8" s="24">
        <f>Resultados!A6</f>
        <v>6</v>
      </c>
      <c r="B8" s="32" t="e">
        <f ca="1">INDIRECT("ListaCuadros!E"&amp;J2)</f>
        <v>#N/A</v>
      </c>
      <c r="C8" s="26"/>
      <c r="D8" s="26"/>
      <c r="E8" s="25"/>
      <c r="F8" s="25"/>
      <c r="G8" s="25"/>
      <c r="H8" s="25"/>
      <c r="I8" s="25"/>
      <c r="J8" s="25"/>
      <c r="K8" s="25"/>
      <c r="L8" s="26"/>
      <c r="M8" s="35"/>
      <c r="N8" s="25"/>
      <c r="O8" s="29" t="e">
        <f ca="1">INDIRECT("ListaCuadros!AK"&amp;J2)</f>
        <v>#N/A</v>
      </c>
      <c r="P8" s="28">
        <f>Resultados!A70</f>
        <v>70</v>
      </c>
    </row>
    <row r="9" spans="1:16" ht="16.5" thickTop="1" thickBot="1" x14ac:dyDescent="0.4">
      <c r="A9" s="30"/>
      <c r="B9" s="31"/>
      <c r="C9" s="33" t="e">
        <f ca="1">INDIRECT("ListaCuadros!BP"&amp;J2)</f>
        <v>#N/A</v>
      </c>
      <c r="D9" s="26"/>
      <c r="E9" s="25"/>
      <c r="F9" s="25"/>
      <c r="G9" s="25"/>
      <c r="H9" s="25"/>
      <c r="I9" s="25"/>
      <c r="J9" s="25"/>
      <c r="K9" s="25"/>
      <c r="L9" s="26"/>
      <c r="M9" s="35"/>
      <c r="N9" s="33" t="e">
        <f ca="1">INDIRECT("ListaCuadros!CF"&amp;J2)</f>
        <v>#N/A</v>
      </c>
      <c r="O9" s="25"/>
      <c r="P9" s="28"/>
    </row>
    <row r="10" spans="1:16" ht="16.5" thickTop="1" thickBot="1" x14ac:dyDescent="0.4">
      <c r="A10" s="24">
        <f>Resultados!A7</f>
        <v>7</v>
      </c>
      <c r="B10" s="33" t="e">
        <f ca="1">INDIRECT("ListaCuadros!F"&amp;J2)</f>
        <v>#N/A</v>
      </c>
      <c r="C10" s="25"/>
      <c r="D10" s="26"/>
      <c r="E10" s="25"/>
      <c r="F10" s="25"/>
      <c r="G10" s="25"/>
      <c r="H10" s="25"/>
      <c r="I10" s="25"/>
      <c r="J10" s="25"/>
      <c r="K10" s="25"/>
      <c r="L10" s="26"/>
      <c r="M10" s="25"/>
      <c r="N10" s="26"/>
      <c r="O10" s="33" t="e">
        <f ca="1">INDIRECT("ListaCuadros!AL"&amp;J2)</f>
        <v>#N/A</v>
      </c>
      <c r="P10" s="28">
        <f>Resultados!A71</f>
        <v>71</v>
      </c>
    </row>
    <row r="11" spans="1:16" ht="16.5" thickTop="1" thickBot="1" x14ac:dyDescent="0.4">
      <c r="A11" s="24">
        <f>Resultados!A8</f>
        <v>8</v>
      </c>
      <c r="B11" s="25"/>
      <c r="C11" s="25"/>
      <c r="D11" s="26"/>
      <c r="E11" s="25"/>
      <c r="F11" s="25"/>
      <c r="G11" s="25"/>
      <c r="H11" s="25"/>
      <c r="I11" s="25"/>
      <c r="J11" s="25"/>
      <c r="K11" s="25"/>
      <c r="L11" s="26"/>
      <c r="M11" s="25"/>
      <c r="N11" s="25"/>
      <c r="O11" s="31"/>
      <c r="P11" s="32">
        <f>Resultados!A72</f>
        <v>72</v>
      </c>
    </row>
    <row r="12" spans="1:16" ht="16.5" thickTop="1" thickBot="1" x14ac:dyDescent="0.4">
      <c r="A12" s="30"/>
      <c r="B12" s="25"/>
      <c r="C12" s="25"/>
      <c r="D12" s="26"/>
      <c r="E12" s="32" t="e">
        <f ca="1">INDIRECT("ListaCuadros!DK"&amp;J2)</f>
        <v>#N/A</v>
      </c>
      <c r="F12" s="25"/>
      <c r="G12" s="25"/>
      <c r="H12" s="25"/>
      <c r="I12" s="25"/>
      <c r="J12" s="25"/>
      <c r="K12" s="25"/>
      <c r="L12" s="29" t="e">
        <f ca="1">INDIRECT("ListaCuadros!DO"&amp;J2)</f>
        <v>#N/A</v>
      </c>
      <c r="M12" s="25"/>
      <c r="N12" s="25"/>
      <c r="O12" s="25"/>
      <c r="P12" s="28"/>
    </row>
    <row r="13" spans="1:16" ht="16.5" thickTop="1" thickBot="1" x14ac:dyDescent="0.4">
      <c r="A13" s="24">
        <f>Resultados!A9</f>
        <v>9</v>
      </c>
      <c r="B13" s="25"/>
      <c r="C13" s="25"/>
      <c r="D13" s="26"/>
      <c r="E13" s="31"/>
      <c r="F13" s="25"/>
      <c r="G13" s="25"/>
      <c r="H13" s="25"/>
      <c r="I13" s="25"/>
      <c r="J13" s="25"/>
      <c r="K13" s="26"/>
      <c r="L13" s="26"/>
      <c r="M13" s="25"/>
      <c r="N13" s="25"/>
      <c r="O13" s="26"/>
      <c r="P13" s="28">
        <f>Resultados!A73</f>
        <v>73</v>
      </c>
    </row>
    <row r="14" spans="1:16" ht="16.5" thickTop="1" thickBot="1" x14ac:dyDescent="0.4">
      <c r="A14" s="24">
        <f>Resultados!A10</f>
        <v>10</v>
      </c>
      <c r="B14" s="32" t="e">
        <f ca="1">INDIRECT("ListaCuadros!G"&amp;J2)</f>
        <v>#N/A</v>
      </c>
      <c r="C14" s="25"/>
      <c r="D14" s="26"/>
      <c r="E14" s="26"/>
      <c r="F14" s="25"/>
      <c r="G14" s="25"/>
      <c r="H14" s="25"/>
      <c r="I14" s="25"/>
      <c r="J14" s="25"/>
      <c r="K14" s="26"/>
      <c r="L14" s="26"/>
      <c r="M14" s="25"/>
      <c r="N14" s="25"/>
      <c r="O14" s="29" t="e">
        <f ca="1">INDIRECT("ListaCuadros!AM"&amp;J2)</f>
        <v>#N/A</v>
      </c>
      <c r="P14" s="28">
        <f>Resultados!A74</f>
        <v>74</v>
      </c>
    </row>
    <row r="15" spans="1:16" ht="16.5" thickTop="1" thickBot="1" x14ac:dyDescent="0.4">
      <c r="A15" s="30"/>
      <c r="B15" s="31"/>
      <c r="C15" s="32" t="e">
        <f ca="1">INDIRECT("ListaCuadros!BQ"&amp;J2)</f>
        <v>#N/A</v>
      </c>
      <c r="D15" s="26"/>
      <c r="E15" s="26"/>
      <c r="F15" s="25"/>
      <c r="G15" s="25"/>
      <c r="H15" s="25"/>
      <c r="I15" s="25"/>
      <c r="J15" s="25"/>
      <c r="K15" s="26"/>
      <c r="L15" s="26"/>
      <c r="M15" s="25"/>
      <c r="N15" s="29" t="e">
        <f ca="1">INDIRECT("ListaCuadros!CG"&amp;J2)</f>
        <v>#N/A</v>
      </c>
      <c r="O15" s="25"/>
      <c r="P15" s="28"/>
    </row>
    <row r="16" spans="1:16" ht="16.5" thickTop="1" thickBot="1" x14ac:dyDescent="0.4">
      <c r="A16" s="24">
        <f>Resultados!A11</f>
        <v>11</v>
      </c>
      <c r="B16" s="33" t="e">
        <f ca="1">INDIRECT("ListaCuadros!H"&amp;J2)</f>
        <v>#N/A</v>
      </c>
      <c r="C16" s="31"/>
      <c r="D16" s="26"/>
      <c r="E16" s="26"/>
      <c r="F16" s="25"/>
      <c r="G16" s="25"/>
      <c r="H16" s="25"/>
      <c r="I16" s="25"/>
      <c r="J16" s="25"/>
      <c r="K16" s="26"/>
      <c r="L16" s="26"/>
      <c r="M16" s="26"/>
      <c r="N16" s="26"/>
      <c r="O16" s="33" t="e">
        <f ca="1">INDIRECT("ListaCuadros!AN"&amp;J2)</f>
        <v>#N/A</v>
      </c>
      <c r="P16" s="28">
        <f>Resultados!A75</f>
        <v>75</v>
      </c>
    </row>
    <row r="17" spans="1:16" ht="16.5" thickTop="1" thickBot="1" x14ac:dyDescent="0.4">
      <c r="A17" s="24">
        <f>Resultados!A12</f>
        <v>12</v>
      </c>
      <c r="B17" s="25"/>
      <c r="C17" s="26"/>
      <c r="D17" s="26"/>
      <c r="E17" s="26"/>
      <c r="F17" s="25"/>
      <c r="G17" s="25"/>
      <c r="H17" s="25"/>
      <c r="I17" s="25"/>
      <c r="J17" s="25"/>
      <c r="K17" s="26"/>
      <c r="L17" s="26"/>
      <c r="M17" s="26"/>
      <c r="N17" s="25"/>
      <c r="O17" s="31"/>
      <c r="P17" s="32">
        <f>Resultados!A76</f>
        <v>76</v>
      </c>
    </row>
    <row r="18" spans="1:16" ht="16.5" thickTop="1" thickBot="1" x14ac:dyDescent="0.4">
      <c r="A18" s="30"/>
      <c r="B18" s="25"/>
      <c r="C18" s="26"/>
      <c r="D18" s="33" t="e">
        <f ca="1">INDIRECT("ListaCuadros!CV"&amp;J2)</f>
        <v>#N/A</v>
      </c>
      <c r="E18" s="26"/>
      <c r="F18" s="25"/>
      <c r="G18" s="25"/>
      <c r="H18" s="25"/>
      <c r="I18" s="25"/>
      <c r="J18" s="25"/>
      <c r="K18" s="26"/>
      <c r="L18" s="26"/>
      <c r="M18" s="33" t="e">
        <f ca="1">INDIRECT("ListaCuadros!DD"&amp;J2)</f>
        <v>#N/A</v>
      </c>
      <c r="N18" s="25"/>
      <c r="O18" s="25"/>
      <c r="P18" s="28"/>
    </row>
    <row r="19" spans="1:16" ht="16.5" thickTop="1" thickBot="1" x14ac:dyDescent="0.4">
      <c r="A19" s="24">
        <f>Resultados!A13</f>
        <v>13</v>
      </c>
      <c r="B19" s="25"/>
      <c r="C19" s="26"/>
      <c r="D19" s="25"/>
      <c r="E19" s="26"/>
      <c r="F19" s="25"/>
      <c r="G19" s="25"/>
      <c r="H19" s="25"/>
      <c r="I19" s="25"/>
      <c r="J19" s="25"/>
      <c r="K19" s="26"/>
      <c r="L19" s="36"/>
      <c r="M19" s="31"/>
      <c r="N19" s="25"/>
      <c r="O19" s="26"/>
      <c r="P19" s="28">
        <f>Resultados!A77</f>
        <v>77</v>
      </c>
    </row>
    <row r="20" spans="1:16" ht="16.5" thickTop="1" thickBot="1" x14ac:dyDescent="0.4">
      <c r="A20" s="24">
        <f>Resultados!A14</f>
        <v>14</v>
      </c>
      <c r="B20" s="32" t="e">
        <f ca="1">INDIRECT("ListaCuadros!I"&amp;J2)</f>
        <v>#N/A</v>
      </c>
      <c r="C20" s="26"/>
      <c r="D20" s="25"/>
      <c r="E20" s="26"/>
      <c r="F20" s="25"/>
      <c r="G20" s="25"/>
      <c r="H20" s="25"/>
      <c r="I20" s="25"/>
      <c r="J20" s="25"/>
      <c r="K20" s="26"/>
      <c r="L20" s="36"/>
      <c r="M20" s="26"/>
      <c r="N20" s="25"/>
      <c r="O20" s="29" t="e">
        <f ca="1">INDIRECT("ListaCuadros!AO"&amp;J2)</f>
        <v>#N/A</v>
      </c>
      <c r="P20" s="28">
        <f>Resultados!A78</f>
        <v>78</v>
      </c>
    </row>
    <row r="21" spans="1:16" ht="16.5" thickTop="1" thickBot="1" x14ac:dyDescent="0.4">
      <c r="A21" s="30"/>
      <c r="B21" s="31"/>
      <c r="C21" s="33" t="e">
        <f ca="1">INDIRECT("ListaCuadros!BR"&amp;J2)</f>
        <v>#N/A</v>
      </c>
      <c r="D21" s="25"/>
      <c r="E21" s="26"/>
      <c r="F21" s="25"/>
      <c r="G21" s="25"/>
      <c r="H21" s="25"/>
      <c r="I21" s="25"/>
      <c r="J21" s="25"/>
      <c r="K21" s="26"/>
      <c r="L21" s="36"/>
      <c r="M21" s="26"/>
      <c r="N21" s="33" t="e">
        <f ca="1">INDIRECT("ListaCuadros!CH"&amp;J2)</f>
        <v>#N/A</v>
      </c>
      <c r="O21" s="25"/>
      <c r="P21" s="28"/>
    </row>
    <row r="22" spans="1:16" ht="16.5" thickTop="1" thickBot="1" x14ac:dyDescent="0.4">
      <c r="A22" s="24">
        <f>Resultados!A15</f>
        <v>15</v>
      </c>
      <c r="B22" s="33" t="e">
        <f ca="1">INDIRECT("ListaCuadros!J"&amp;J2)</f>
        <v>#N/A</v>
      </c>
      <c r="C22" s="25"/>
      <c r="D22" s="25"/>
      <c r="E22" s="26"/>
      <c r="F22" s="25"/>
      <c r="G22" s="25"/>
      <c r="H22" s="25"/>
      <c r="I22" s="25"/>
      <c r="J22" s="25"/>
      <c r="K22" s="26"/>
      <c r="L22" s="25"/>
      <c r="M22" s="25"/>
      <c r="N22" s="31"/>
      <c r="O22" s="33" t="e">
        <f ca="1">INDIRECT("ListaCuadros!AP"&amp;J2)</f>
        <v>#N/A</v>
      </c>
      <c r="P22" s="28">
        <f>Resultados!A79</f>
        <v>79</v>
      </c>
    </row>
    <row r="23" spans="1:16" ht="16.5" thickTop="1" thickBot="1" x14ac:dyDescent="0.4">
      <c r="A23" s="24">
        <f>Resultados!A16</f>
        <v>16</v>
      </c>
      <c r="B23" s="25"/>
      <c r="C23" s="25"/>
      <c r="D23" s="25"/>
      <c r="E23" s="26"/>
      <c r="F23" s="25"/>
      <c r="G23" s="25"/>
      <c r="H23" s="25"/>
      <c r="I23" s="25"/>
      <c r="J23" s="25"/>
      <c r="K23" s="26"/>
      <c r="L23" s="25"/>
      <c r="M23" s="25"/>
      <c r="N23" s="25"/>
      <c r="O23" s="31"/>
      <c r="P23" s="32">
        <f>Resultados!A80</f>
        <v>80</v>
      </c>
    </row>
    <row r="24" spans="1:16" ht="16.5" thickTop="1" thickBot="1" x14ac:dyDescent="0.4">
      <c r="A24" s="30"/>
      <c r="B24" s="25"/>
      <c r="C24" s="25"/>
      <c r="D24" s="25"/>
      <c r="E24" s="26"/>
      <c r="F24" s="36"/>
      <c r="G24" s="25"/>
      <c r="H24" s="25"/>
      <c r="I24" s="25"/>
      <c r="J24" s="25"/>
      <c r="K24" s="26"/>
      <c r="L24" s="25"/>
      <c r="M24" s="25"/>
      <c r="N24" s="25"/>
      <c r="O24" s="25"/>
      <c r="P24" s="28"/>
    </row>
    <row r="25" spans="1:16" ht="16.5" thickTop="1" thickBot="1" x14ac:dyDescent="0.4">
      <c r="A25" s="24">
        <f>Resultados!A17</f>
        <v>17</v>
      </c>
      <c r="B25" s="25"/>
      <c r="C25" s="25"/>
      <c r="D25" s="25"/>
      <c r="E25" s="26"/>
      <c r="F25" s="25"/>
      <c r="G25" s="25"/>
      <c r="H25" s="25"/>
      <c r="I25" s="25"/>
      <c r="J25" s="25"/>
      <c r="K25" s="26"/>
      <c r="L25" s="25"/>
      <c r="M25" s="25"/>
      <c r="N25" s="25"/>
      <c r="O25" s="26"/>
      <c r="P25" s="28">
        <f>Resultados!A81</f>
        <v>81</v>
      </c>
    </row>
    <row r="26" spans="1:16" ht="16.5" thickTop="1" thickBot="1" x14ac:dyDescent="0.4">
      <c r="A26" s="24">
        <f>Resultados!A18</f>
        <v>18</v>
      </c>
      <c r="B26" s="32" t="e">
        <f ca="1">INDIRECT("ListaCuadros!K"&amp;J2)</f>
        <v>#N/A</v>
      </c>
      <c r="C26" s="25"/>
      <c r="D26" s="25"/>
      <c r="E26" s="26"/>
      <c r="F26" s="25"/>
      <c r="G26" s="25"/>
      <c r="H26" s="25"/>
      <c r="I26" s="25"/>
      <c r="J26" s="25"/>
      <c r="K26" s="26"/>
      <c r="L26" s="25"/>
      <c r="M26" s="25"/>
      <c r="N26" s="25"/>
      <c r="O26" s="29" t="e">
        <f ca="1">INDIRECT("ListaCuadros!AQ"&amp;J2)</f>
        <v>#N/A</v>
      </c>
      <c r="P26" s="28">
        <f>Resultados!A82</f>
        <v>82</v>
      </c>
    </row>
    <row r="27" spans="1:16" ht="16.5" thickTop="1" thickBot="1" x14ac:dyDescent="0.4">
      <c r="A27" s="30"/>
      <c r="B27" s="31"/>
      <c r="C27" s="28" t="e">
        <f ca="1">INDIRECT("ListaCuadros!BS"&amp;J2)</f>
        <v>#N/A</v>
      </c>
      <c r="D27" s="25"/>
      <c r="E27" s="26"/>
      <c r="F27" s="25"/>
      <c r="G27" s="25"/>
      <c r="H27" s="25"/>
      <c r="I27" s="25"/>
      <c r="J27" s="25"/>
      <c r="K27" s="26"/>
      <c r="L27" s="25"/>
      <c r="M27" s="25"/>
      <c r="N27" s="29" t="e">
        <f ca="1">INDIRECT("ListaCuadros!CI"&amp;J2)</f>
        <v>#N/A</v>
      </c>
      <c r="O27" s="25"/>
      <c r="P27" s="28"/>
    </row>
    <row r="28" spans="1:16" ht="16.5" thickTop="1" thickBot="1" x14ac:dyDescent="0.4">
      <c r="A28" s="24">
        <f>Resultados!A19</f>
        <v>19</v>
      </c>
      <c r="B28" s="33" t="e">
        <f ca="1">INDIRECT("ListaCuadros!L"&amp;J2)</f>
        <v>#N/A</v>
      </c>
      <c r="C28" s="31"/>
      <c r="D28" s="25"/>
      <c r="E28" s="26"/>
      <c r="F28" s="25"/>
      <c r="G28" s="25"/>
      <c r="H28" s="25"/>
      <c r="I28" s="25"/>
      <c r="J28" s="25"/>
      <c r="K28" s="26"/>
      <c r="L28" s="25"/>
      <c r="M28" s="26"/>
      <c r="N28" s="34"/>
      <c r="O28" s="33" t="e">
        <f ca="1">INDIRECT("ListaCuadros!AR"&amp;J2)</f>
        <v>#N/A</v>
      </c>
      <c r="P28" s="28">
        <f>Resultados!A83</f>
        <v>83</v>
      </c>
    </row>
    <row r="29" spans="1:16" ht="16.5" thickTop="1" thickBot="1" x14ac:dyDescent="0.4">
      <c r="A29" s="24">
        <f>Resultados!A20</f>
        <v>20</v>
      </c>
      <c r="B29" s="25"/>
      <c r="C29" s="26"/>
      <c r="D29" s="25"/>
      <c r="E29" s="26"/>
      <c r="F29" s="25"/>
      <c r="G29" s="25"/>
      <c r="H29" s="25"/>
      <c r="I29" s="25"/>
      <c r="J29" s="25"/>
      <c r="K29" s="26"/>
      <c r="L29" s="25"/>
      <c r="M29" s="26"/>
      <c r="N29" s="25"/>
      <c r="O29" s="31"/>
      <c r="P29" s="28">
        <f>Resultados!A84</f>
        <v>84</v>
      </c>
    </row>
    <row r="30" spans="1:16" ht="16.5" thickTop="1" thickBot="1" x14ac:dyDescent="0.4">
      <c r="A30" s="30"/>
      <c r="B30" s="25"/>
      <c r="C30" s="26"/>
      <c r="D30" s="32" t="e">
        <f ca="1">INDIRECT("ListaCuadros!CW"&amp;J2)</f>
        <v>#N/A</v>
      </c>
      <c r="E30" s="26"/>
      <c r="F30" s="25"/>
      <c r="G30" s="25"/>
      <c r="H30" s="25"/>
      <c r="I30" s="25"/>
      <c r="J30" s="25"/>
      <c r="K30" s="26"/>
      <c r="L30" s="25"/>
      <c r="M30" s="29" t="e">
        <f ca="1">INDIRECT("ListaCuadros!DE"&amp;J2)</f>
        <v>#N/A</v>
      </c>
      <c r="N30" s="25"/>
      <c r="O30" s="25"/>
      <c r="P30" s="28"/>
    </row>
    <row r="31" spans="1:16" ht="16.5" thickTop="1" thickBot="1" x14ac:dyDescent="0.4">
      <c r="A31" s="24">
        <f>Resultados!A21</f>
        <v>21</v>
      </c>
      <c r="B31" s="25"/>
      <c r="C31" s="26"/>
      <c r="D31" s="31"/>
      <c r="E31" s="26"/>
      <c r="F31" s="25"/>
      <c r="G31" s="25"/>
      <c r="H31" s="25"/>
      <c r="I31" s="25"/>
      <c r="J31" s="25"/>
      <c r="K31" s="26"/>
      <c r="L31" s="26"/>
      <c r="M31" s="26"/>
      <c r="N31" s="25"/>
      <c r="O31" s="26"/>
      <c r="P31" s="32">
        <f>Resultados!A85</f>
        <v>85</v>
      </c>
    </row>
    <row r="32" spans="1:16" ht="16.5" thickTop="1" thickBot="1" x14ac:dyDescent="0.4">
      <c r="A32" s="24">
        <f>Resultados!A22</f>
        <v>22</v>
      </c>
      <c r="B32" s="32" t="e">
        <f ca="1">INDIRECT("ListaCuadros!M"&amp;J2)</f>
        <v>#N/A</v>
      </c>
      <c r="C32" s="26"/>
      <c r="D32" s="26"/>
      <c r="E32" s="26"/>
      <c r="F32" s="25"/>
      <c r="G32" s="25"/>
      <c r="H32" s="25"/>
      <c r="I32" s="25"/>
      <c r="J32" s="25"/>
      <c r="K32" s="26"/>
      <c r="L32" s="26"/>
      <c r="M32" s="26"/>
      <c r="N32" s="25"/>
      <c r="O32" s="29" t="e">
        <f ca="1">INDIRECT("ListaCuadros!AS"&amp;J2)</f>
        <v>#N/A</v>
      </c>
      <c r="P32" s="28">
        <f>Resultados!A86</f>
        <v>86</v>
      </c>
    </row>
    <row r="33" spans="1:16" ht="16.5" thickTop="1" thickBot="1" x14ac:dyDescent="0.4">
      <c r="A33" s="30"/>
      <c r="B33" s="31"/>
      <c r="C33" s="33" t="e">
        <f ca="1">INDIRECT("ListaCuadros!BT"&amp;J2)</f>
        <v>#N/A</v>
      </c>
      <c r="D33" s="26"/>
      <c r="E33" s="26"/>
      <c r="F33" s="32" t="e">
        <f ca="1">INDIRECT("ListaCuadros!DS"&amp;J2)</f>
        <v>#N/A</v>
      </c>
      <c r="G33" s="25"/>
      <c r="H33" s="25"/>
      <c r="I33" s="25"/>
      <c r="J33" s="25"/>
      <c r="K33" s="29" t="e">
        <f ca="1">INDIRECT("ListaCuadros!DU"&amp;J2)</f>
        <v>#N/A</v>
      </c>
      <c r="L33" s="26"/>
      <c r="M33" s="26"/>
      <c r="N33" s="33" t="e">
        <f ca="1">INDIRECT("ListaCuadros!CJ"&amp;J2)</f>
        <v>#N/A</v>
      </c>
      <c r="O33" s="25"/>
      <c r="P33" s="28"/>
    </row>
    <row r="34" spans="1:16" ht="16.5" thickTop="1" thickBot="1" x14ac:dyDescent="0.4">
      <c r="A34" s="24">
        <f>Resultados!A23</f>
        <v>23</v>
      </c>
      <c r="B34" s="33" t="e">
        <f ca="1">INDIRECT("ListaCuadros!N"&amp;J2)</f>
        <v>#N/A</v>
      </c>
      <c r="C34" s="25"/>
      <c r="D34" s="26"/>
      <c r="E34" s="26"/>
      <c r="F34" s="31"/>
      <c r="G34" s="25"/>
      <c r="H34" s="25"/>
      <c r="I34" s="25"/>
      <c r="J34" s="26"/>
      <c r="K34" s="26"/>
      <c r="L34" s="26"/>
      <c r="M34" s="25"/>
      <c r="N34" s="31"/>
      <c r="O34" s="33" t="e">
        <f ca="1">INDIRECT("ListaCuadros!AT"&amp;J2)</f>
        <v>#N/A</v>
      </c>
      <c r="P34" s="28">
        <f>Resultados!A87</f>
        <v>87</v>
      </c>
    </row>
    <row r="35" spans="1:16" ht="16.5" thickTop="1" thickBot="1" x14ac:dyDescent="0.4">
      <c r="A35" s="24">
        <f>Resultados!A24</f>
        <v>24</v>
      </c>
      <c r="B35" s="25"/>
      <c r="C35" s="25"/>
      <c r="D35" s="26"/>
      <c r="E35" s="26"/>
      <c r="F35" s="26"/>
      <c r="G35" s="25"/>
      <c r="H35" s="25"/>
      <c r="I35" s="25"/>
      <c r="J35" s="26"/>
      <c r="K35" s="26"/>
      <c r="L35" s="26"/>
      <c r="M35" s="25"/>
      <c r="N35" s="25"/>
      <c r="O35" s="31"/>
      <c r="P35" s="32">
        <f>Resultados!A88</f>
        <v>88</v>
      </c>
    </row>
    <row r="36" spans="1:16" ht="16.5" thickTop="1" thickBot="1" x14ac:dyDescent="0.4">
      <c r="A36" s="30"/>
      <c r="B36" s="25"/>
      <c r="C36" s="25"/>
      <c r="D36" s="26"/>
      <c r="E36" s="33" t="e">
        <f ca="1">INDIRECT("ListaCuadros!DL"&amp;J2)</f>
        <v>#N/A</v>
      </c>
      <c r="F36" s="26"/>
      <c r="G36" s="25"/>
      <c r="H36" s="25"/>
      <c r="I36" s="25"/>
      <c r="J36" s="26"/>
      <c r="K36" s="26"/>
      <c r="L36" s="33" t="e">
        <f ca="1">INDIRECT("ListaCuadros!DP"&amp;J2)</f>
        <v>#N/A</v>
      </c>
      <c r="M36" s="25"/>
      <c r="N36" s="25"/>
      <c r="O36" s="25"/>
      <c r="P36" s="28"/>
    </row>
    <row r="37" spans="1:16" ht="16.5" thickTop="1" thickBot="1" x14ac:dyDescent="0.4">
      <c r="A37" s="24">
        <f>Resultados!A25</f>
        <v>25</v>
      </c>
      <c r="B37" s="25"/>
      <c r="C37" s="25"/>
      <c r="D37" s="26"/>
      <c r="E37" s="25"/>
      <c r="F37" s="26"/>
      <c r="G37" s="25"/>
      <c r="H37" s="25"/>
      <c r="I37" s="25"/>
      <c r="J37" s="26"/>
      <c r="K37" s="25"/>
      <c r="L37" s="26"/>
      <c r="M37" s="25"/>
      <c r="N37" s="25"/>
      <c r="O37" s="26"/>
      <c r="P37" s="28">
        <f>Resultados!A89</f>
        <v>89</v>
      </c>
    </row>
    <row r="38" spans="1:16" ht="16.5" thickTop="1" thickBot="1" x14ac:dyDescent="0.4">
      <c r="A38" s="24">
        <f>Resultados!A26</f>
        <v>26</v>
      </c>
      <c r="B38" s="32" t="e">
        <f ca="1">INDIRECT("ListaCuadros!O"&amp;J2)</f>
        <v>#N/A</v>
      </c>
      <c r="C38" s="25"/>
      <c r="D38" s="26"/>
      <c r="E38" s="25"/>
      <c r="F38" s="26"/>
      <c r="G38" s="25"/>
      <c r="H38" s="25"/>
      <c r="I38" s="25"/>
      <c r="J38" s="26"/>
      <c r="K38" s="25"/>
      <c r="L38" s="26"/>
      <c r="M38" s="25"/>
      <c r="N38" s="25"/>
      <c r="O38" s="29" t="e">
        <f ca="1">INDIRECT("ListaCuadros!AU"&amp;J2)</f>
        <v>#N/A</v>
      </c>
      <c r="P38" s="32">
        <f>Resultados!A90</f>
        <v>90</v>
      </c>
    </row>
    <row r="39" spans="1:16" ht="16.5" thickTop="1" thickBot="1" x14ac:dyDescent="0.4">
      <c r="A39" s="30"/>
      <c r="B39" s="31"/>
      <c r="C39" s="32" t="e">
        <f ca="1">INDIRECT("ListaCuadros!BU"&amp;J2)</f>
        <v>#N/A</v>
      </c>
      <c r="D39" s="26"/>
      <c r="E39" s="25"/>
      <c r="F39" s="26"/>
      <c r="G39" s="25"/>
      <c r="H39" s="25"/>
      <c r="I39" s="25"/>
      <c r="J39" s="26"/>
      <c r="K39" s="25"/>
      <c r="L39" s="26"/>
      <c r="M39" s="25"/>
      <c r="N39" s="29" t="e">
        <f ca="1">INDIRECT("ListaCuadros!CK"&amp;J2)</f>
        <v>#N/A</v>
      </c>
      <c r="O39" s="25"/>
      <c r="P39" s="28"/>
    </row>
    <row r="40" spans="1:16" ht="16.5" thickTop="1" thickBot="1" x14ac:dyDescent="0.4">
      <c r="A40" s="24">
        <f>Resultados!A27</f>
        <v>27</v>
      </c>
      <c r="B40" s="33" t="e">
        <f ca="1">INDIRECT("ListaCuadros!P"&amp;J2)</f>
        <v>#N/A</v>
      </c>
      <c r="C40" s="31"/>
      <c r="D40" s="26"/>
      <c r="E40" s="25"/>
      <c r="F40" s="26"/>
      <c r="G40" s="25"/>
      <c r="H40" s="25"/>
      <c r="I40" s="25"/>
      <c r="J40" s="26"/>
      <c r="K40" s="25"/>
      <c r="L40" s="26"/>
      <c r="M40" s="26"/>
      <c r="N40" s="34"/>
      <c r="O40" s="33" t="e">
        <f ca="1">INDIRECT("ListaCuadros!AV"&amp;J2)</f>
        <v>#N/A</v>
      </c>
      <c r="P40" s="28">
        <f>Resultados!A91</f>
        <v>91</v>
      </c>
    </row>
    <row r="41" spans="1:16" ht="16.5" thickTop="1" thickBot="1" x14ac:dyDescent="0.4">
      <c r="A41" s="24">
        <f>Resultados!A28</f>
        <v>28</v>
      </c>
      <c r="B41" s="25"/>
      <c r="C41" s="26"/>
      <c r="D41" s="26"/>
      <c r="E41" s="25"/>
      <c r="F41" s="26"/>
      <c r="G41" s="25"/>
      <c r="H41" s="25"/>
      <c r="I41" s="25"/>
      <c r="J41" s="26"/>
      <c r="K41" s="25"/>
      <c r="L41" s="26"/>
      <c r="M41" s="26"/>
      <c r="N41" s="25"/>
      <c r="O41" s="31"/>
      <c r="P41" s="27">
        <f>Resultados!A92</f>
        <v>92</v>
      </c>
    </row>
    <row r="42" spans="1:16" ht="16.5" thickTop="1" thickBot="1" x14ac:dyDescent="0.4">
      <c r="A42" s="30"/>
      <c r="B42" s="25"/>
      <c r="C42" s="26"/>
      <c r="D42" s="33" t="e">
        <f ca="1">INDIRECT("ListaCuadros!CX"&amp;J2)</f>
        <v>#N/A</v>
      </c>
      <c r="E42" s="25"/>
      <c r="F42" s="26"/>
      <c r="G42" s="25"/>
      <c r="H42" s="25"/>
      <c r="I42" s="25"/>
      <c r="J42" s="26"/>
      <c r="K42" s="25"/>
      <c r="L42" s="26"/>
      <c r="M42" s="33" t="e">
        <f ca="1">INDIRECT("ListaCuadros!DF"&amp;J2)</f>
        <v>#N/A</v>
      </c>
      <c r="N42" s="25"/>
      <c r="O42" s="25"/>
      <c r="P42" s="28"/>
    </row>
    <row r="43" spans="1:16" ht="16.5" thickTop="1" thickBot="1" x14ac:dyDescent="0.4">
      <c r="A43" s="24">
        <f>Resultados!A29</f>
        <v>29</v>
      </c>
      <c r="B43" s="25"/>
      <c r="C43" s="26"/>
      <c r="D43" s="25"/>
      <c r="E43" s="25"/>
      <c r="F43" s="26"/>
      <c r="G43" s="25"/>
      <c r="H43" s="25"/>
      <c r="I43" s="25"/>
      <c r="J43" s="26"/>
      <c r="K43" s="25"/>
      <c r="L43" s="25"/>
      <c r="M43" s="26"/>
      <c r="N43" s="25"/>
      <c r="O43" s="26"/>
      <c r="P43" s="32">
        <f>Resultados!A93</f>
        <v>93</v>
      </c>
    </row>
    <row r="44" spans="1:16" ht="16.5" thickTop="1" thickBot="1" x14ac:dyDescent="0.4">
      <c r="A44" s="24">
        <f>Resultados!A30</f>
        <v>30</v>
      </c>
      <c r="B44" s="32" t="e">
        <f ca="1">INDIRECT("ListaCuadros!Q"&amp;J2)</f>
        <v>#N/A</v>
      </c>
      <c r="C44" s="26"/>
      <c r="D44" s="25"/>
      <c r="E44" s="25"/>
      <c r="F44" s="26"/>
      <c r="G44" s="25"/>
      <c r="H44" s="25"/>
      <c r="I44" s="25"/>
      <c r="J44" s="26"/>
      <c r="K44" s="25"/>
      <c r="L44" s="25"/>
      <c r="M44" s="26"/>
      <c r="N44" s="25"/>
      <c r="O44" s="29" t="e">
        <f ca="1">INDIRECT("ListaCuadros!AW"&amp;J2)</f>
        <v>#N/A</v>
      </c>
      <c r="P44" s="28">
        <f>Resultados!A94</f>
        <v>94</v>
      </c>
    </row>
    <row r="45" spans="1:16" ht="16.5" thickTop="1" thickBot="1" x14ac:dyDescent="0.4">
      <c r="A45" s="30"/>
      <c r="B45" s="31"/>
      <c r="C45" s="33" t="e">
        <f ca="1">INDIRECT("ListaCuadros!BV"&amp;J2)</f>
        <v>#N/A</v>
      </c>
      <c r="D45" s="25"/>
      <c r="E45" s="25"/>
      <c r="F45" s="26"/>
      <c r="G45" s="25"/>
      <c r="H45" s="41" t="e">
        <f ca="1">INDIRECT("ListaCuadros!DY"&amp;J2)</f>
        <v>#N/A</v>
      </c>
      <c r="I45" s="41"/>
      <c r="J45" s="26"/>
      <c r="K45" s="25"/>
      <c r="L45" s="25"/>
      <c r="M45" s="26"/>
      <c r="N45" s="33" t="e">
        <f ca="1">INDIRECT("ListaCuadros!CL"&amp;J2)</f>
        <v>#N/A</v>
      </c>
      <c r="O45" s="25"/>
      <c r="P45" s="28"/>
    </row>
    <row r="46" spans="1:16" ht="16.5" thickTop="1" thickBot="1" x14ac:dyDescent="0.4">
      <c r="A46" s="24">
        <f>Resultados!A31</f>
        <v>31</v>
      </c>
      <c r="B46" s="33" t="e">
        <f ca="1">INDIRECT("ListaCuadros!R"&amp;J2)</f>
        <v>#N/A</v>
      </c>
      <c r="C46" s="25"/>
      <c r="D46" s="25"/>
      <c r="E46" s="25"/>
      <c r="F46" s="26"/>
      <c r="G46" s="25"/>
      <c r="H46" s="31"/>
      <c r="I46" s="25"/>
      <c r="J46" s="26"/>
      <c r="K46" s="25"/>
      <c r="L46" s="25"/>
      <c r="M46" s="25"/>
      <c r="N46" s="31"/>
      <c r="O46" s="33" t="e">
        <f ca="1">INDIRECT("ListaCuadros!AX"&amp;J2)</f>
        <v>#N/A</v>
      </c>
      <c r="P46" s="28">
        <f>Resultados!A95</f>
        <v>95</v>
      </c>
    </row>
    <row r="47" spans="1:16" ht="16.5" thickTop="1" thickBot="1" x14ac:dyDescent="0.4">
      <c r="A47" s="24">
        <f>Resultados!A32</f>
        <v>32</v>
      </c>
      <c r="B47" s="25"/>
      <c r="C47" s="25"/>
      <c r="D47" s="25"/>
      <c r="E47" s="25"/>
      <c r="F47" s="26"/>
      <c r="G47" s="25"/>
      <c r="H47" s="26"/>
      <c r="I47" s="25"/>
      <c r="J47" s="26"/>
      <c r="K47" s="25"/>
      <c r="L47" s="25"/>
      <c r="M47" s="25"/>
      <c r="N47" s="25"/>
      <c r="O47" s="31"/>
      <c r="P47" s="32">
        <f>Resultados!A96</f>
        <v>96</v>
      </c>
    </row>
    <row r="48" spans="1:16" ht="16.5" thickTop="1" thickBot="1" x14ac:dyDescent="0.4">
      <c r="A48" s="30"/>
      <c r="B48" s="25"/>
      <c r="C48" s="25"/>
      <c r="D48" s="25"/>
      <c r="E48" s="25"/>
      <c r="F48" s="26"/>
      <c r="G48" s="32" t="e">
        <f ca="1">INDIRECT("ListaCuadros!DW"&amp;J2)</f>
        <v>#N/A</v>
      </c>
      <c r="H48" s="29"/>
      <c r="I48" s="32"/>
      <c r="J48" s="29" t="e">
        <f ca="1">INDIRECT("ListaCuadros!DX"&amp;J2)</f>
        <v>#N/A</v>
      </c>
      <c r="K48" s="25"/>
      <c r="L48" s="25"/>
      <c r="M48" s="25"/>
      <c r="N48" s="25"/>
      <c r="O48" s="25"/>
      <c r="P48" s="28"/>
    </row>
    <row r="49" spans="1:16" ht="16.5" thickTop="1" thickBot="1" x14ac:dyDescent="0.4">
      <c r="A49" s="24">
        <f>Resultados!A33</f>
        <v>33</v>
      </c>
      <c r="B49" s="25"/>
      <c r="C49" s="25"/>
      <c r="D49" s="25"/>
      <c r="E49" s="25"/>
      <c r="F49" s="26"/>
      <c r="G49" s="25"/>
      <c r="H49" s="25"/>
      <c r="I49" s="25"/>
      <c r="J49" s="26"/>
      <c r="K49" s="25"/>
      <c r="L49" s="25"/>
      <c r="M49" s="25"/>
      <c r="N49" s="25"/>
      <c r="O49" s="26"/>
      <c r="P49" s="28">
        <f>Resultados!A97</f>
        <v>97</v>
      </c>
    </row>
    <row r="50" spans="1:16" ht="16.5" thickTop="1" thickBot="1" x14ac:dyDescent="0.4">
      <c r="A50" s="24">
        <f>Resultados!A34</f>
        <v>34</v>
      </c>
      <c r="B50" s="32" t="e">
        <f ca="1">INDIRECT("ListaCuadros!S"&amp;J2)</f>
        <v>#N/A</v>
      </c>
      <c r="C50" s="25"/>
      <c r="D50" s="25"/>
      <c r="E50" s="25"/>
      <c r="F50" s="26"/>
      <c r="G50" s="25"/>
      <c r="H50" s="25"/>
      <c r="I50" s="25"/>
      <c r="J50" s="26"/>
      <c r="K50" s="25"/>
      <c r="L50" s="25"/>
      <c r="M50" s="25"/>
      <c r="N50" s="25"/>
      <c r="O50" s="29" t="e">
        <f ca="1">INDIRECT("ListaCuadros!AY"&amp;J2)</f>
        <v>#N/A</v>
      </c>
      <c r="P50" s="28">
        <f>Resultados!A98</f>
        <v>98</v>
      </c>
    </row>
    <row r="51" spans="1:16" ht="16.5" thickTop="1" thickBot="1" x14ac:dyDescent="0.4">
      <c r="A51" s="30"/>
      <c r="B51" s="31"/>
      <c r="C51" s="32" t="e">
        <f ca="1">INDIRECT("ListaCuadros!BW"&amp;J2)</f>
        <v>#N/A</v>
      </c>
      <c r="D51" s="25"/>
      <c r="E51" s="25"/>
      <c r="F51" s="26"/>
      <c r="G51" s="25"/>
      <c r="H51" s="25"/>
      <c r="I51" s="25"/>
      <c r="J51" s="26"/>
      <c r="K51" s="25"/>
      <c r="L51" s="25"/>
      <c r="M51" s="25"/>
      <c r="N51" s="29" t="e">
        <f ca="1">INDIRECT("ListaCuadros!CM"&amp;J2)</f>
        <v>#N/A</v>
      </c>
      <c r="O51" s="25"/>
      <c r="P51" s="28"/>
    </row>
    <row r="52" spans="1:16" ht="16.5" thickTop="1" thickBot="1" x14ac:dyDescent="0.4">
      <c r="A52" s="24">
        <f>Resultados!A35</f>
        <v>35</v>
      </c>
      <c r="B52" s="33" t="e">
        <f ca="1">INDIRECT("ListaCuadros!T"&amp;J2)</f>
        <v>#N/A</v>
      </c>
      <c r="C52" s="31"/>
      <c r="D52" s="25"/>
      <c r="E52" s="25"/>
      <c r="F52" s="26"/>
      <c r="G52" s="25"/>
      <c r="H52" s="25"/>
      <c r="I52" s="25"/>
      <c r="J52" s="26"/>
      <c r="K52" s="25"/>
      <c r="L52" s="25"/>
      <c r="M52" s="26"/>
      <c r="N52" s="34"/>
      <c r="O52" s="33" t="e">
        <f ca="1">INDIRECT("ListaCuadros!AZ"&amp;J2)</f>
        <v>#N/A</v>
      </c>
      <c r="P52" s="32">
        <f>Resultados!A99</f>
        <v>99</v>
      </c>
    </row>
    <row r="53" spans="1:16" ht="16.5" thickTop="1" thickBot="1" x14ac:dyDescent="0.4">
      <c r="A53" s="24">
        <f>Resultados!A36</f>
        <v>36</v>
      </c>
      <c r="B53" s="25"/>
      <c r="C53" s="26"/>
      <c r="D53" s="25"/>
      <c r="E53" s="25"/>
      <c r="F53" s="26"/>
      <c r="G53" s="25"/>
      <c r="H53" s="25"/>
      <c r="I53" s="25"/>
      <c r="J53" s="26"/>
      <c r="K53" s="25"/>
      <c r="L53" s="25"/>
      <c r="M53" s="26"/>
      <c r="N53" s="25"/>
      <c r="O53" s="31"/>
      <c r="P53" s="32">
        <f>Resultados!A100</f>
        <v>100</v>
      </c>
    </row>
    <row r="54" spans="1:16" ht="16.5" thickTop="1" thickBot="1" x14ac:dyDescent="0.4">
      <c r="A54" s="30"/>
      <c r="B54" s="25"/>
      <c r="C54" s="26"/>
      <c r="D54" s="32" t="e">
        <f ca="1">INDIRECT("ListaCuadros!CY"&amp;J2)</f>
        <v>#N/A</v>
      </c>
      <c r="E54" s="25"/>
      <c r="F54" s="26"/>
      <c r="G54" s="25"/>
      <c r="H54" s="25"/>
      <c r="I54" s="25"/>
      <c r="J54" s="26"/>
      <c r="K54" s="25"/>
      <c r="L54" s="25"/>
      <c r="M54" s="29" t="e">
        <f ca="1">INDIRECT("ListaCuadros!DG"&amp;J2)</f>
        <v>#N/A</v>
      </c>
      <c r="N54" s="25"/>
      <c r="O54" s="25"/>
      <c r="P54" s="28"/>
    </row>
    <row r="55" spans="1:16" ht="16.5" thickTop="1" thickBot="1" x14ac:dyDescent="0.4">
      <c r="A55" s="24">
        <f>Resultados!A37</f>
        <v>37</v>
      </c>
      <c r="B55" s="25"/>
      <c r="C55" s="26"/>
      <c r="D55" s="31"/>
      <c r="E55" s="25"/>
      <c r="F55" s="26"/>
      <c r="G55" s="25"/>
      <c r="H55" s="25"/>
      <c r="I55" s="25"/>
      <c r="J55" s="26"/>
      <c r="K55" s="25"/>
      <c r="L55" s="26"/>
      <c r="M55" s="26"/>
      <c r="N55" s="25"/>
      <c r="O55" s="26"/>
      <c r="P55" s="32">
        <f>Resultados!A101</f>
        <v>101</v>
      </c>
    </row>
    <row r="56" spans="1:16" ht="16.5" thickTop="1" thickBot="1" x14ac:dyDescent="0.4">
      <c r="A56" s="24">
        <f>Resultados!A38</f>
        <v>38</v>
      </c>
      <c r="B56" s="32" t="e">
        <f ca="1">INDIRECT("ListaCuadros!U"&amp;J2)</f>
        <v>#N/A</v>
      </c>
      <c r="C56" s="26"/>
      <c r="D56" s="26"/>
      <c r="E56" s="25"/>
      <c r="F56" s="26"/>
      <c r="G56" s="25"/>
      <c r="H56" s="25"/>
      <c r="I56" s="25"/>
      <c r="J56" s="26"/>
      <c r="K56" s="25"/>
      <c r="L56" s="26"/>
      <c r="M56" s="26"/>
      <c r="N56" s="25"/>
      <c r="O56" s="29" t="e">
        <f ca="1">INDIRECT("ListaCuadros!BA"&amp;J2)</f>
        <v>#N/A</v>
      </c>
      <c r="P56" s="28">
        <f>Resultados!A102</f>
        <v>102</v>
      </c>
    </row>
    <row r="57" spans="1:16" ht="16.5" thickTop="1" thickBot="1" x14ac:dyDescent="0.4">
      <c r="A57" s="30"/>
      <c r="B57" s="31"/>
      <c r="C57" s="33" t="e">
        <f ca="1">INDIRECT("ListaCuadros!BX"&amp;J2)</f>
        <v>#N/A</v>
      </c>
      <c r="D57" s="26"/>
      <c r="E57" s="25"/>
      <c r="F57" s="26"/>
      <c r="G57" s="25"/>
      <c r="H57" s="25"/>
      <c r="I57" s="25"/>
      <c r="J57" s="26"/>
      <c r="K57" s="25"/>
      <c r="L57" s="26"/>
      <c r="M57" s="26"/>
      <c r="N57" s="33" t="e">
        <f ca="1">INDIRECT("ListaCuadros!CN"&amp;J2)</f>
        <v>#N/A</v>
      </c>
      <c r="O57" s="25"/>
      <c r="P57" s="28"/>
    </row>
    <row r="58" spans="1:16" ht="16.5" thickTop="1" thickBot="1" x14ac:dyDescent="0.4">
      <c r="A58" s="24">
        <f>Resultados!A39</f>
        <v>39</v>
      </c>
      <c r="B58" s="33" t="e">
        <f ca="1">INDIRECT("ListaCuadros!V"&amp;J2)</f>
        <v>#N/A</v>
      </c>
      <c r="C58" s="25"/>
      <c r="D58" s="26"/>
      <c r="E58" s="25"/>
      <c r="F58" s="26"/>
      <c r="G58" s="25"/>
      <c r="H58" s="25"/>
      <c r="I58" s="25"/>
      <c r="J58" s="26"/>
      <c r="K58" s="25"/>
      <c r="L58" s="26"/>
      <c r="M58" s="36"/>
      <c r="N58" s="31"/>
      <c r="O58" s="33" t="e">
        <f ca="1">INDIRECT("ListaCuadros!BB"&amp;J2)</f>
        <v>#N/A</v>
      </c>
      <c r="P58" s="32">
        <f>Resultados!A103</f>
        <v>103</v>
      </c>
    </row>
    <row r="59" spans="1:16" ht="16.5" thickTop="1" thickBot="1" x14ac:dyDescent="0.4">
      <c r="A59" s="24">
        <f>Resultados!A40</f>
        <v>40</v>
      </c>
      <c r="B59" s="25"/>
      <c r="C59" s="25"/>
      <c r="D59" s="26"/>
      <c r="E59" s="25"/>
      <c r="F59" s="26"/>
      <c r="G59" s="25"/>
      <c r="H59" s="25"/>
      <c r="I59" s="25"/>
      <c r="J59" s="26"/>
      <c r="K59" s="25"/>
      <c r="L59" s="26"/>
      <c r="M59" s="25"/>
      <c r="N59" s="25"/>
      <c r="O59" s="31"/>
      <c r="P59" s="32">
        <f>Resultados!A104</f>
        <v>104</v>
      </c>
    </row>
    <row r="60" spans="1:16" ht="16.5" thickTop="1" thickBot="1" x14ac:dyDescent="0.4">
      <c r="A60" s="30"/>
      <c r="B60" s="25"/>
      <c r="C60" s="25"/>
      <c r="D60" s="26"/>
      <c r="E60" s="28" t="e">
        <f ca="1">INDIRECT("ListaCuadros!DM"&amp;J2)</f>
        <v>#N/A</v>
      </c>
      <c r="F60" s="26"/>
      <c r="G60" s="25"/>
      <c r="H60" s="25"/>
      <c r="I60" s="25"/>
      <c r="J60" s="26"/>
      <c r="K60" s="25"/>
      <c r="L60" s="29" t="e">
        <f ca="1">INDIRECT("ListaCuadros!DQ"&amp;J2)</f>
        <v>#N/A</v>
      </c>
      <c r="M60" s="25"/>
      <c r="N60" s="25"/>
      <c r="O60" s="25"/>
      <c r="P60" s="28"/>
    </row>
    <row r="61" spans="1:16" ht="16.5" thickTop="1" thickBot="1" x14ac:dyDescent="0.4">
      <c r="A61" s="24">
        <f>Resultados!A41</f>
        <v>41</v>
      </c>
      <c r="B61" s="25"/>
      <c r="C61" s="25"/>
      <c r="D61" s="26"/>
      <c r="E61" s="31"/>
      <c r="F61" s="26"/>
      <c r="G61" s="25"/>
      <c r="H61" s="25"/>
      <c r="I61" s="25"/>
      <c r="J61" s="26"/>
      <c r="K61" s="26"/>
      <c r="L61" s="26"/>
      <c r="M61" s="25"/>
      <c r="N61" s="25"/>
      <c r="O61" s="26"/>
      <c r="P61" s="32">
        <f>Resultados!A105</f>
        <v>105</v>
      </c>
    </row>
    <row r="62" spans="1:16" ht="16.5" thickTop="1" thickBot="1" x14ac:dyDescent="0.4">
      <c r="A62" s="24">
        <f>Resultados!A42</f>
        <v>42</v>
      </c>
      <c r="B62" s="32" t="e">
        <f ca="1">INDIRECT("ListaCuadros!W"&amp;J2)</f>
        <v>#N/A</v>
      </c>
      <c r="C62" s="25"/>
      <c r="D62" s="26"/>
      <c r="E62" s="26"/>
      <c r="F62" s="26"/>
      <c r="G62" s="25"/>
      <c r="H62" s="25"/>
      <c r="I62" s="25"/>
      <c r="J62" s="26"/>
      <c r="K62" s="26"/>
      <c r="L62" s="26"/>
      <c r="M62" s="25"/>
      <c r="N62" s="25"/>
      <c r="O62" s="29" t="e">
        <f ca="1">INDIRECT("ListaCuadros!BC"&amp;J2)</f>
        <v>#N/A</v>
      </c>
      <c r="P62" s="28">
        <f>Resultados!A106</f>
        <v>106</v>
      </c>
    </row>
    <row r="63" spans="1:16" ht="16.5" thickTop="1" thickBot="1" x14ac:dyDescent="0.4">
      <c r="A63" s="30"/>
      <c r="B63" s="31"/>
      <c r="C63" s="32" t="e">
        <f ca="1">INDIRECT("ListaCuadros!BY"&amp;J2)</f>
        <v>#N/A</v>
      </c>
      <c r="D63" s="26"/>
      <c r="E63" s="26"/>
      <c r="F63" s="26"/>
      <c r="G63" s="25"/>
      <c r="H63" s="25"/>
      <c r="I63" s="25"/>
      <c r="J63" s="26"/>
      <c r="K63" s="26"/>
      <c r="L63" s="26"/>
      <c r="M63" s="25"/>
      <c r="N63" s="29" t="e">
        <f ca="1">INDIRECT("ListaCuadros!CO"&amp;J2)</f>
        <v>#N/A</v>
      </c>
      <c r="O63" s="25"/>
      <c r="P63" s="28"/>
    </row>
    <row r="64" spans="1:16" ht="16.5" thickTop="1" thickBot="1" x14ac:dyDescent="0.4">
      <c r="A64" s="24">
        <f>Resultados!A43</f>
        <v>43</v>
      </c>
      <c r="B64" s="33" t="e">
        <f ca="1">INDIRECT("ListaCuadros!X"&amp;J2)</f>
        <v>#N/A</v>
      </c>
      <c r="C64" s="31"/>
      <c r="D64" s="26"/>
      <c r="E64" s="26"/>
      <c r="F64" s="26"/>
      <c r="G64" s="25"/>
      <c r="H64" s="25"/>
      <c r="I64" s="25"/>
      <c r="J64" s="26"/>
      <c r="K64" s="26"/>
      <c r="L64" s="26"/>
      <c r="M64" s="26"/>
      <c r="N64" s="26"/>
      <c r="O64" s="33" t="e">
        <f ca="1">INDIRECT("ListaCuadros!BD"&amp;J2)</f>
        <v>#N/A</v>
      </c>
      <c r="P64" s="32">
        <f>Resultados!A107</f>
        <v>107</v>
      </c>
    </row>
    <row r="65" spans="1:16" ht="16.5" thickTop="1" thickBot="1" x14ac:dyDescent="0.4">
      <c r="A65" s="24">
        <f>Resultados!A44</f>
        <v>44</v>
      </c>
      <c r="B65" s="25"/>
      <c r="C65" s="26"/>
      <c r="D65" s="26"/>
      <c r="E65" s="26"/>
      <c r="F65" s="26"/>
      <c r="G65" s="25"/>
      <c r="H65" s="25"/>
      <c r="I65" s="25"/>
      <c r="J65" s="26"/>
      <c r="K65" s="26"/>
      <c r="L65" s="26"/>
      <c r="M65" s="26"/>
      <c r="N65" s="25"/>
      <c r="O65" s="31"/>
      <c r="P65" s="27">
        <f>Resultados!A108</f>
        <v>108</v>
      </c>
    </row>
    <row r="66" spans="1:16" ht="16.5" thickTop="1" thickBot="1" x14ac:dyDescent="0.4">
      <c r="A66" s="30"/>
      <c r="B66" s="25"/>
      <c r="C66" s="26"/>
      <c r="D66" s="33" t="e">
        <f ca="1">INDIRECT("ListaCuadros!CZ"&amp;J2)</f>
        <v>#N/A</v>
      </c>
      <c r="E66" s="26"/>
      <c r="F66" s="26"/>
      <c r="G66" s="25"/>
      <c r="H66" s="25"/>
      <c r="I66" s="25"/>
      <c r="J66" s="26"/>
      <c r="K66" s="26"/>
      <c r="L66" s="26"/>
      <c r="M66" s="33" t="e">
        <f ca="1">INDIRECT("ListaCuadros!DH"&amp;J2)</f>
        <v>#N/A</v>
      </c>
      <c r="N66" s="25"/>
      <c r="O66" s="25"/>
      <c r="P66" s="28"/>
    </row>
    <row r="67" spans="1:16" ht="16.5" thickTop="1" thickBot="1" x14ac:dyDescent="0.4">
      <c r="A67" s="24">
        <f>Resultados!A45</f>
        <v>45</v>
      </c>
      <c r="B67" s="25"/>
      <c r="C67" s="26"/>
      <c r="D67" s="25"/>
      <c r="E67" s="26"/>
      <c r="F67" s="26"/>
      <c r="G67" s="25"/>
      <c r="H67" s="25"/>
      <c r="I67" s="25"/>
      <c r="J67" s="26"/>
      <c r="K67" s="26"/>
      <c r="L67" s="36"/>
      <c r="M67" s="31"/>
      <c r="N67" s="25"/>
      <c r="O67" s="26"/>
      <c r="P67" s="32">
        <f>Resultados!A109</f>
        <v>109</v>
      </c>
    </row>
    <row r="68" spans="1:16" ht="16.5" thickTop="1" thickBot="1" x14ac:dyDescent="0.4">
      <c r="A68" s="24">
        <f>Resultados!A46</f>
        <v>46</v>
      </c>
      <c r="B68" s="32" t="e">
        <f ca="1">INDIRECT("ListaCuadros!Y"&amp;J2)</f>
        <v>#N/A</v>
      </c>
      <c r="C68" s="26"/>
      <c r="D68" s="25"/>
      <c r="E68" s="26"/>
      <c r="F68" s="26"/>
      <c r="G68" s="25"/>
      <c r="H68" s="25"/>
      <c r="I68" s="25"/>
      <c r="J68" s="26"/>
      <c r="K68" s="26"/>
      <c r="L68" s="25"/>
      <c r="M68" s="26"/>
      <c r="N68" s="25"/>
      <c r="O68" s="29" t="e">
        <f ca="1">INDIRECT("ListaCuadros!BE"&amp;J2)</f>
        <v>#N/A</v>
      </c>
      <c r="P68" s="28">
        <f>Resultados!A110</f>
        <v>110</v>
      </c>
    </row>
    <row r="69" spans="1:16" ht="16.5" thickTop="1" thickBot="1" x14ac:dyDescent="0.4">
      <c r="A69" s="30"/>
      <c r="B69" s="31"/>
      <c r="C69" s="33" t="e">
        <f ca="1">INDIRECT("ListaCuadros!BZ"&amp;J2)</f>
        <v>#N/A</v>
      </c>
      <c r="D69" s="25"/>
      <c r="E69" s="26"/>
      <c r="F69" s="33" t="e">
        <f ca="1">INDIRECT("ListaCuadros!DT"&amp;J2)</f>
        <v>#N/A</v>
      </c>
      <c r="G69" s="25"/>
      <c r="H69" s="25"/>
      <c r="I69" s="25"/>
      <c r="J69" s="26"/>
      <c r="K69" s="33" t="e">
        <f ca="1">INDIRECT("ListaCuadros!DV"&amp;J2)</f>
        <v>#N/A</v>
      </c>
      <c r="L69" s="25"/>
      <c r="M69" s="26"/>
      <c r="N69" s="33" t="e">
        <f ca="1">INDIRECT("ListaCuadros!CP"&amp;J2)</f>
        <v>#N/A</v>
      </c>
      <c r="O69" s="25"/>
      <c r="P69" s="28"/>
    </row>
    <row r="70" spans="1:16" ht="16.5" thickTop="1" thickBot="1" x14ac:dyDescent="0.4">
      <c r="A70" s="24">
        <f>Resultados!A47</f>
        <v>47</v>
      </c>
      <c r="B70" s="33" t="e">
        <f ca="1">INDIRECT("ListaCuadros!Z"&amp;J2)</f>
        <v>#N/A</v>
      </c>
      <c r="C70" s="25"/>
      <c r="D70" s="25"/>
      <c r="E70" s="26"/>
      <c r="F70" s="25"/>
      <c r="G70" s="25"/>
      <c r="H70" s="25"/>
      <c r="I70" s="25"/>
      <c r="J70" s="25"/>
      <c r="K70" s="26"/>
      <c r="L70" s="25"/>
      <c r="M70" s="25"/>
      <c r="N70" s="31"/>
      <c r="O70" s="33" t="e">
        <f ca="1">INDIRECT("ListaCuadros!BF"&amp;J2)</f>
        <v>#N/A</v>
      </c>
      <c r="P70" s="32">
        <f>Resultados!A111</f>
        <v>111</v>
      </c>
    </row>
    <row r="71" spans="1:16" ht="16.5" thickTop="1" thickBot="1" x14ac:dyDescent="0.4">
      <c r="A71" s="24">
        <f>Resultados!A48</f>
        <v>48</v>
      </c>
      <c r="B71" s="25"/>
      <c r="C71" s="25"/>
      <c r="D71" s="25"/>
      <c r="E71" s="26"/>
      <c r="F71" s="25"/>
      <c r="G71" s="25"/>
      <c r="H71" s="25"/>
      <c r="I71" s="25"/>
      <c r="J71" s="25"/>
      <c r="K71" s="26"/>
      <c r="L71" s="25"/>
      <c r="M71" s="25"/>
      <c r="N71" s="25"/>
      <c r="O71" s="31"/>
      <c r="P71" s="32">
        <f>Resultados!A112</f>
        <v>112</v>
      </c>
    </row>
    <row r="72" spans="1:16" ht="16.5" thickTop="1" thickBot="1" x14ac:dyDescent="0.4">
      <c r="A72" s="30"/>
      <c r="B72" s="25"/>
      <c r="C72" s="25"/>
      <c r="D72" s="25"/>
      <c r="E72" s="26"/>
      <c r="F72" s="25"/>
      <c r="G72" s="25"/>
      <c r="H72" s="25"/>
      <c r="I72" s="25"/>
      <c r="J72" s="25"/>
      <c r="K72" s="26"/>
      <c r="L72" s="25"/>
      <c r="M72" s="25"/>
      <c r="N72" s="25"/>
      <c r="O72" s="25"/>
      <c r="P72" s="28"/>
    </row>
    <row r="73" spans="1:16" ht="16.5" thickTop="1" thickBot="1" x14ac:dyDescent="0.4">
      <c r="A73" s="24">
        <f>Resultados!A49</f>
        <v>49</v>
      </c>
      <c r="B73" s="25"/>
      <c r="C73" s="25"/>
      <c r="D73" s="25"/>
      <c r="E73" s="26"/>
      <c r="F73" s="25"/>
      <c r="G73" s="25"/>
      <c r="H73" s="25"/>
      <c r="I73" s="25"/>
      <c r="J73" s="25"/>
      <c r="K73" s="26"/>
      <c r="L73" s="25"/>
      <c r="M73" s="25"/>
      <c r="N73" s="25"/>
      <c r="O73" s="26"/>
      <c r="P73" s="32">
        <f>Resultados!A113</f>
        <v>113</v>
      </c>
    </row>
    <row r="74" spans="1:16" ht="16.5" thickTop="1" thickBot="1" x14ac:dyDescent="0.4">
      <c r="A74" s="24">
        <f>Resultados!A50</f>
        <v>50</v>
      </c>
      <c r="B74" s="32" t="e">
        <f ca="1">INDIRECT("ListaCuadros!AA"&amp;J2)</f>
        <v>#N/A</v>
      </c>
      <c r="C74" s="25"/>
      <c r="D74" s="25"/>
      <c r="E74" s="26"/>
      <c r="F74" s="25"/>
      <c r="G74" s="25"/>
      <c r="H74" s="25"/>
      <c r="I74" s="25"/>
      <c r="J74" s="25"/>
      <c r="K74" s="26"/>
      <c r="L74" s="25"/>
      <c r="M74" s="25"/>
      <c r="N74" s="25"/>
      <c r="O74" s="29" t="e">
        <f ca="1">INDIRECT("ListaCuadros!BG"&amp;J2)</f>
        <v>#N/A</v>
      </c>
      <c r="P74" s="28">
        <f>Resultados!A114</f>
        <v>114</v>
      </c>
    </row>
    <row r="75" spans="1:16" ht="16.5" thickTop="1" thickBot="1" x14ac:dyDescent="0.4">
      <c r="A75" s="30"/>
      <c r="B75" s="31"/>
      <c r="C75" s="32" t="e">
        <f ca="1">INDIRECT("ListaCuadros!CA"&amp;J2)</f>
        <v>#N/A</v>
      </c>
      <c r="D75" s="25"/>
      <c r="E75" s="26"/>
      <c r="F75" s="25"/>
      <c r="G75" s="25"/>
      <c r="H75" s="25"/>
      <c r="I75" s="25"/>
      <c r="J75" s="25"/>
      <c r="K75" s="26"/>
      <c r="L75" s="25"/>
      <c r="M75" s="25"/>
      <c r="N75" s="29" t="e">
        <f ca="1">INDIRECT("ListaCuadros!CQ"&amp;J2)</f>
        <v>#N/A</v>
      </c>
      <c r="O75" s="25"/>
      <c r="P75" s="28"/>
    </row>
    <row r="76" spans="1:16" ht="16.5" thickTop="1" thickBot="1" x14ac:dyDescent="0.4">
      <c r="A76" s="24">
        <f>Resultados!A51</f>
        <v>51</v>
      </c>
      <c r="B76" s="33" t="e">
        <f ca="1">INDIRECT("ListaCuadros!AB"&amp;J2)</f>
        <v>#N/A</v>
      </c>
      <c r="C76" s="31"/>
      <c r="D76" s="25"/>
      <c r="E76" s="26"/>
      <c r="F76" s="25"/>
      <c r="G76" s="25"/>
      <c r="H76" s="25"/>
      <c r="I76" s="25"/>
      <c r="J76" s="25"/>
      <c r="K76" s="26"/>
      <c r="L76" s="25"/>
      <c r="M76" s="26"/>
      <c r="N76" s="34"/>
      <c r="O76" s="33" t="e">
        <f ca="1">INDIRECT("ListaCuadros!BH"&amp;J2)</f>
        <v>#N/A</v>
      </c>
      <c r="P76" s="27">
        <f>Resultados!A115</f>
        <v>115</v>
      </c>
    </row>
    <row r="77" spans="1:16" ht="16.5" thickTop="1" thickBot="1" x14ac:dyDescent="0.4">
      <c r="A77" s="24">
        <f>Resultados!A52</f>
        <v>52</v>
      </c>
      <c r="B77" s="25"/>
      <c r="C77" s="26"/>
      <c r="D77" s="25"/>
      <c r="E77" s="26"/>
      <c r="F77" s="25"/>
      <c r="G77" s="25"/>
      <c r="H77" s="25"/>
      <c r="I77" s="25"/>
      <c r="J77" s="25"/>
      <c r="K77" s="26"/>
      <c r="L77" s="25"/>
      <c r="M77" s="26"/>
      <c r="N77" s="25"/>
      <c r="O77" s="31"/>
      <c r="P77" s="27">
        <f>Resultados!A116</f>
        <v>116</v>
      </c>
    </row>
    <row r="78" spans="1:16" ht="16.5" thickTop="1" thickBot="1" x14ac:dyDescent="0.4">
      <c r="A78" s="30"/>
      <c r="B78" s="25"/>
      <c r="C78" s="26"/>
      <c r="D78" s="32" t="e">
        <f ca="1">INDIRECT("ListaCuadros!DA"&amp;J2)</f>
        <v>#N/A</v>
      </c>
      <c r="E78" s="26"/>
      <c r="F78" s="25"/>
      <c r="G78" s="25"/>
      <c r="H78" s="25"/>
      <c r="I78" s="25"/>
      <c r="J78" s="25"/>
      <c r="K78" s="26"/>
      <c r="L78" s="25"/>
      <c r="M78" s="29" t="e">
        <f ca="1">INDIRECT("ListaCuadros!DI"&amp;J2)</f>
        <v>#N/A</v>
      </c>
      <c r="N78" s="25"/>
      <c r="O78" s="25"/>
      <c r="P78" s="28"/>
    </row>
    <row r="79" spans="1:16" ht="16.5" thickTop="1" thickBot="1" x14ac:dyDescent="0.4">
      <c r="A79" s="24">
        <f>Resultados!A53</f>
        <v>53</v>
      </c>
      <c r="B79" s="25"/>
      <c r="C79" s="26"/>
      <c r="D79" s="31"/>
      <c r="E79" s="26"/>
      <c r="F79" s="25"/>
      <c r="G79" s="25"/>
      <c r="H79" s="25"/>
      <c r="I79" s="25"/>
      <c r="J79" s="25"/>
      <c r="K79" s="26"/>
      <c r="L79" s="26"/>
      <c r="M79" s="26"/>
      <c r="N79" s="25"/>
      <c r="O79" s="26"/>
      <c r="P79" s="32">
        <f>Resultados!A117</f>
        <v>117</v>
      </c>
    </row>
    <row r="80" spans="1:16" ht="16.5" thickTop="1" thickBot="1" x14ac:dyDescent="0.4">
      <c r="A80" s="24">
        <f>Resultados!A54</f>
        <v>54</v>
      </c>
      <c r="B80" s="28" t="e">
        <f ca="1">INDIRECT("ListaCuadros!AC"&amp;J2)</f>
        <v>#N/A</v>
      </c>
      <c r="C80" s="26"/>
      <c r="D80" s="26"/>
      <c r="E80" s="26"/>
      <c r="F80" s="25"/>
      <c r="G80" s="25"/>
      <c r="H80" s="25"/>
      <c r="I80" s="25"/>
      <c r="J80" s="25"/>
      <c r="K80" s="26"/>
      <c r="L80" s="26"/>
      <c r="M80" s="26"/>
      <c r="N80" s="25"/>
      <c r="O80" s="29" t="e">
        <f ca="1">INDIRECT("ListaCuadros!BI"&amp;J2)</f>
        <v>#N/A</v>
      </c>
      <c r="P80" s="28">
        <f>Resultados!A118</f>
        <v>118</v>
      </c>
    </row>
    <row r="81" spans="1:16" ht="16.5" thickTop="1" thickBot="1" x14ac:dyDescent="0.4">
      <c r="A81" s="30"/>
      <c r="B81" s="31"/>
      <c r="C81" s="33" t="e">
        <f ca="1">INDIRECT("ListaCuadros!CB"&amp;J2)</f>
        <v>#N/A</v>
      </c>
      <c r="D81" s="26"/>
      <c r="E81" s="26"/>
      <c r="F81" s="25"/>
      <c r="G81" s="25"/>
      <c r="H81" s="25"/>
      <c r="I81" s="25"/>
      <c r="J81" s="25"/>
      <c r="K81" s="26"/>
      <c r="L81" s="26"/>
      <c r="M81" s="26"/>
      <c r="N81" s="33" t="e">
        <f ca="1">INDIRECT("ListaCuadros!CR"&amp;J2)</f>
        <v>#N/A</v>
      </c>
      <c r="O81" s="25"/>
      <c r="P81" s="28"/>
    </row>
    <row r="82" spans="1:16" ht="16.5" thickTop="1" thickBot="1" x14ac:dyDescent="0.4">
      <c r="A82" s="24">
        <f>Resultados!A55</f>
        <v>55</v>
      </c>
      <c r="B82" s="33" t="e">
        <f ca="1">INDIRECT("ListaCuadros!AD"&amp;J2)</f>
        <v>#N/A</v>
      </c>
      <c r="C82" s="25"/>
      <c r="D82" s="26"/>
      <c r="E82" s="26"/>
      <c r="F82" s="25"/>
      <c r="G82" s="25"/>
      <c r="H82" s="25"/>
      <c r="I82" s="25"/>
      <c r="J82" s="25"/>
      <c r="K82" s="26"/>
      <c r="L82" s="26"/>
      <c r="M82" s="36"/>
      <c r="N82" s="31"/>
      <c r="O82" s="33" t="e">
        <f ca="1">INDIRECT("ListaCuadros!BJ"&amp;J2)</f>
        <v>#N/A</v>
      </c>
      <c r="P82" s="32">
        <f>Resultados!A119</f>
        <v>119</v>
      </c>
    </row>
    <row r="83" spans="1:16" ht="16.5" thickTop="1" thickBot="1" x14ac:dyDescent="0.4">
      <c r="A83" s="24">
        <f>Resultados!A56</f>
        <v>56</v>
      </c>
      <c r="B83" s="25"/>
      <c r="C83" s="25"/>
      <c r="D83" s="26"/>
      <c r="E83" s="26"/>
      <c r="F83" s="25"/>
      <c r="G83" s="25"/>
      <c r="H83" s="25"/>
      <c r="I83" s="25"/>
      <c r="J83" s="25"/>
      <c r="K83" s="26"/>
      <c r="L83" s="26"/>
      <c r="M83" s="25"/>
      <c r="N83" s="25"/>
      <c r="O83" s="31"/>
      <c r="P83" s="32">
        <f>Resultados!A120</f>
        <v>120</v>
      </c>
    </row>
    <row r="84" spans="1:16" ht="16.5" thickTop="1" thickBot="1" x14ac:dyDescent="0.4">
      <c r="A84" s="30"/>
      <c r="B84" s="25"/>
      <c r="C84" s="25"/>
      <c r="D84" s="26"/>
      <c r="E84" s="33" t="e">
        <f ca="1">INDIRECT("ListaCuadros!DN"&amp;J2)</f>
        <v>#N/A</v>
      </c>
      <c r="F84" s="25"/>
      <c r="G84" s="25"/>
      <c r="H84" s="25"/>
      <c r="I84" s="25"/>
      <c r="J84" s="25"/>
      <c r="K84" s="26"/>
      <c r="L84" s="33" t="e">
        <f ca="1">INDIRECT("ListaCuadros!DR"&amp;J2)</f>
        <v>#N/A</v>
      </c>
      <c r="M84" s="25"/>
      <c r="N84" s="25"/>
      <c r="O84" s="25"/>
      <c r="P84" s="28"/>
    </row>
    <row r="85" spans="1:16" ht="16.5" thickTop="1" thickBot="1" x14ac:dyDescent="0.4">
      <c r="A85" s="24">
        <f>Resultados!A57</f>
        <v>57</v>
      </c>
      <c r="B85" s="25"/>
      <c r="C85" s="25"/>
      <c r="D85" s="26"/>
      <c r="E85" s="25"/>
      <c r="F85" s="25"/>
      <c r="G85" s="25"/>
      <c r="H85" s="25"/>
      <c r="I85" s="25"/>
      <c r="J85" s="25"/>
      <c r="K85" s="25"/>
      <c r="L85" s="26"/>
      <c r="M85" s="25"/>
      <c r="N85" s="25"/>
      <c r="O85" s="26"/>
      <c r="P85" s="32">
        <f>Resultados!A121</f>
        <v>121</v>
      </c>
    </row>
    <row r="86" spans="1:16" ht="16.5" thickTop="1" thickBot="1" x14ac:dyDescent="0.4">
      <c r="A86" s="24">
        <f>Resultados!A58</f>
        <v>58</v>
      </c>
      <c r="B86" s="32" t="e">
        <f ca="1">INDIRECT("ListaCuadros!AE"&amp;J2)</f>
        <v>#N/A</v>
      </c>
      <c r="C86" s="25"/>
      <c r="D86" s="26"/>
      <c r="E86" s="25"/>
      <c r="F86" s="25"/>
      <c r="G86" s="25"/>
      <c r="H86" s="25"/>
      <c r="I86" s="25"/>
      <c r="J86" s="25"/>
      <c r="K86" s="25"/>
      <c r="L86" s="26"/>
      <c r="M86" s="25"/>
      <c r="N86" s="25"/>
      <c r="O86" s="29" t="e">
        <f ca="1">INDIRECT("ListaCuadros!BK"&amp;J2)</f>
        <v>#N/A</v>
      </c>
      <c r="P86" s="28">
        <f>Resultados!A122</f>
        <v>122</v>
      </c>
    </row>
    <row r="87" spans="1:16" ht="16.5" thickTop="1" thickBot="1" x14ac:dyDescent="0.4">
      <c r="A87" s="30"/>
      <c r="B87" s="31"/>
      <c r="C87" s="32" t="e">
        <f ca="1">INDIRECT("ListaCuadros!CC"&amp;J2)</f>
        <v>#N/A</v>
      </c>
      <c r="D87" s="26"/>
      <c r="E87" s="25"/>
      <c r="F87" s="25"/>
      <c r="G87" s="25"/>
      <c r="H87" s="25"/>
      <c r="I87" s="25"/>
      <c r="J87" s="25"/>
      <c r="K87" s="25"/>
      <c r="L87" s="26"/>
      <c r="M87" s="25"/>
      <c r="N87" s="29" t="e">
        <f ca="1">INDIRECT("ListaCuadros!CS"&amp;J2)</f>
        <v>#N/A</v>
      </c>
      <c r="O87" s="25"/>
      <c r="P87" s="28"/>
    </row>
    <row r="88" spans="1:16" ht="16.5" thickTop="1" thickBot="1" x14ac:dyDescent="0.4">
      <c r="A88" s="24">
        <f>Resultados!A59</f>
        <v>59</v>
      </c>
      <c r="B88" s="33" t="e">
        <f ca="1">INDIRECT("ListaCuadros!AF"&amp;J2)</f>
        <v>#N/A</v>
      </c>
      <c r="C88" s="31"/>
      <c r="D88" s="26"/>
      <c r="E88" s="25"/>
      <c r="F88" s="25"/>
      <c r="G88" s="25"/>
      <c r="H88" s="25"/>
      <c r="I88" s="25"/>
      <c r="J88" s="25"/>
      <c r="K88" s="25"/>
      <c r="L88" s="26"/>
      <c r="M88" s="26"/>
      <c r="N88" s="34"/>
      <c r="O88" s="33" t="e">
        <f ca="1">INDIRECT("ListaCuadros!BL"&amp;J2)</f>
        <v>#N/A</v>
      </c>
      <c r="P88" s="32">
        <f>Resultados!A123</f>
        <v>123</v>
      </c>
    </row>
    <row r="89" spans="1:16" ht="16.5" thickTop="1" thickBot="1" x14ac:dyDescent="0.4">
      <c r="A89" s="24">
        <f>Resultados!A60</f>
        <v>60</v>
      </c>
      <c r="B89" s="25"/>
      <c r="C89" s="26"/>
      <c r="D89" s="26"/>
      <c r="E89" s="25"/>
      <c r="F89" s="25"/>
      <c r="G89" s="25"/>
      <c r="H89" s="25"/>
      <c r="I89" s="25"/>
      <c r="J89" s="25"/>
      <c r="K89" s="25"/>
      <c r="L89" s="26"/>
      <c r="M89" s="26"/>
      <c r="N89" s="25"/>
      <c r="O89" s="31"/>
      <c r="P89" s="32">
        <f>Resultados!A124</f>
        <v>124</v>
      </c>
    </row>
    <row r="90" spans="1:16" ht="16.5" thickTop="1" thickBot="1" x14ac:dyDescent="0.4">
      <c r="A90" s="30"/>
      <c r="B90" s="25"/>
      <c r="C90" s="26"/>
      <c r="D90" s="33" t="e">
        <f ca="1">INDIRECT("ListaCuadros!DB"&amp;J2)</f>
        <v>#N/A</v>
      </c>
      <c r="E90" s="25"/>
      <c r="F90" s="25"/>
      <c r="G90" s="25"/>
      <c r="H90" s="25"/>
      <c r="I90" s="25"/>
      <c r="J90" s="25"/>
      <c r="K90" s="25"/>
      <c r="L90" s="26"/>
      <c r="M90" s="33" t="e">
        <f ca="1">INDIRECT("ListaCuadros!DJ"&amp;J2)</f>
        <v>#N/A</v>
      </c>
      <c r="N90" s="25"/>
      <c r="O90" s="25"/>
      <c r="P90" s="28"/>
    </row>
    <row r="91" spans="1:16" ht="16.5" thickTop="1" thickBot="1" x14ac:dyDescent="0.4">
      <c r="A91" s="24">
        <f>Resultados!A61</f>
        <v>61</v>
      </c>
      <c r="B91" s="36"/>
      <c r="C91" s="26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25"/>
      <c r="O91" s="26"/>
      <c r="P91" s="32">
        <f>Resultados!A125</f>
        <v>125</v>
      </c>
    </row>
    <row r="92" spans="1:16" ht="16.5" thickTop="1" thickBot="1" x14ac:dyDescent="0.4">
      <c r="A92" s="24">
        <f>Resultados!A62</f>
        <v>62</v>
      </c>
      <c r="B92" s="32" t="e">
        <f ca="1">INDIRECT("ListaCuadros!AG"&amp;J2)</f>
        <v>#N/A</v>
      </c>
      <c r="C92" s="26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25"/>
      <c r="O92" s="29" t="e">
        <f ca="1">INDIRECT("ListaCuadros!BM"&amp;J2)</f>
        <v>#N/A</v>
      </c>
      <c r="P92" s="28">
        <f>Resultados!A126</f>
        <v>126</v>
      </c>
    </row>
    <row r="93" spans="1:16" ht="16.5" thickTop="1" thickBot="1" x14ac:dyDescent="0.4">
      <c r="A93" s="30"/>
      <c r="B93" s="31"/>
      <c r="C93" s="33" t="e">
        <f ca="1">INDIRECT("ListaCuadros!CD"&amp;J2)</f>
        <v>#N/A</v>
      </c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3" t="e">
        <f ca="1">INDIRECT("ListaCuadros!CT"&amp;J2)</f>
        <v>#N/A</v>
      </c>
      <c r="O93" s="25"/>
      <c r="P93" s="28"/>
    </row>
    <row r="94" spans="1:16" ht="16.5" thickTop="1" thickBot="1" x14ac:dyDescent="0.4">
      <c r="A94" s="24">
        <f>Resultados!A63</f>
        <v>63</v>
      </c>
      <c r="B94" s="33" t="e">
        <f ca="1">INDIRECT("ListaCuadros!AH"&amp;J2)</f>
        <v>#N/A</v>
      </c>
      <c r="C94" s="37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1"/>
      <c r="O94" s="33" t="e">
        <f ca="1">INDIRECT("ListaCuadros!BN"&amp;J2)</f>
        <v>#N/A</v>
      </c>
      <c r="P94" s="32">
        <f>Resultados!A127</f>
        <v>127</v>
      </c>
    </row>
    <row r="95" spans="1:16" ht="16.5" thickTop="1" thickBot="1" x14ac:dyDescent="0.4">
      <c r="A95" s="24">
        <f>Resultados!A64</f>
        <v>64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31"/>
      <c r="P95" s="32">
        <f>Resultados!A128</f>
        <v>128</v>
      </c>
    </row>
    <row r="96" spans="1:16" ht="15" thickTop="1" x14ac:dyDescent="0.35"/>
  </sheetData>
  <mergeCells count="1">
    <mergeCell ref="H45:I45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1345155-A4AD-48FE-A4EF-EAF36EA51B79}">
            <xm:f>B1&lt;&gt;EntrarResultados!B1</xm:f>
            <x14:dxf>
              <font>
                <color rgb="FFFF0000"/>
              </font>
            </x14:dxf>
          </x14:cfRule>
          <x14:cfRule type="expression" priority="1" stopIfTrue="1" id="{C58E5C0D-9947-4C51-B6BC-46D554BF6D50}">
            <xm:f>ISBLANK(EntrarResultados!B1)</xm:f>
            <x14:dxf/>
          </x14:cfRule>
          <x14:cfRule type="expression" priority="2" id="{74FFFE5A-E312-4A41-8558-2057A47E47EC}">
            <xm:f>B1=EntrarResultados!B1</xm:f>
            <x14:dxf>
              <font>
                <color theme="9"/>
              </font>
            </x14:dxf>
          </x14:cfRule>
          <xm:sqref>B1:O95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341F24-2599-4F28-84CD-54B8D7BA9C44}">
          <x14:formula1>
            <xm:f>ListaCuadros!$B$2:$B$1048576</xm:f>
          </x14:formula1>
          <xm:sqref>I2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74DE3-EF3B-4921-A65B-DC6AD995341B}">
  <sheetPr codeName="Sheet7"/>
  <dimension ref="A1:S96"/>
  <sheetViews>
    <sheetView showGridLines="0" zoomScale="85" zoomScaleNormal="85" workbookViewId="0">
      <selection activeCell="E8" sqref="E8"/>
    </sheetView>
  </sheetViews>
  <sheetFormatPr defaultColWidth="8.7265625" defaultRowHeight="15.5" x14ac:dyDescent="0.35"/>
  <cols>
    <col min="1" max="1" width="15.54296875" style="4" customWidth="1"/>
    <col min="2" max="15" width="15.54296875" style="7" customWidth="1"/>
    <col min="16" max="16" width="15.54296875" style="5" customWidth="1"/>
    <col min="17" max="19" width="15.54296875" style="7" customWidth="1"/>
    <col min="20" max="16384" width="8.7265625" style="9"/>
  </cols>
  <sheetData>
    <row r="1" spans="1:16" ht="16.5" thickTop="1" thickBot="1" x14ac:dyDescent="0.4">
      <c r="A1" s="1">
        <f>Resultados!A1</f>
        <v>1</v>
      </c>
      <c r="B1" s="6"/>
      <c r="O1" s="8"/>
      <c r="P1" s="19">
        <f>Resultados!A65</f>
        <v>65</v>
      </c>
    </row>
    <row r="2" spans="1:16" ht="16.5" thickTop="1" thickBot="1" x14ac:dyDescent="0.4">
      <c r="A2" s="1">
        <f>Resultados!A2</f>
        <v>2</v>
      </c>
      <c r="B2" s="10"/>
      <c r="O2" s="11"/>
      <c r="P2" s="20">
        <f>Resultados!A66</f>
        <v>66</v>
      </c>
    </row>
    <row r="3" spans="1:16" ht="16.5" thickTop="1" thickBot="1" x14ac:dyDescent="0.4">
      <c r="A3" s="2"/>
      <c r="B3" s="12"/>
      <c r="C3" s="13"/>
      <c r="M3" s="6"/>
      <c r="N3" s="11"/>
      <c r="P3" s="20"/>
    </row>
    <row r="4" spans="1:16" ht="16.5" thickTop="1" thickBot="1" x14ac:dyDescent="0.4">
      <c r="A4" s="3">
        <f>Resultados!A3</f>
        <v>3</v>
      </c>
      <c r="B4" s="14"/>
      <c r="C4" s="12"/>
      <c r="M4" s="8"/>
      <c r="N4" s="8"/>
      <c r="O4" s="14"/>
      <c r="P4" s="20">
        <f>Resultados!A67</f>
        <v>67</v>
      </c>
    </row>
    <row r="5" spans="1:16" ht="16.5" thickTop="1" thickBot="1" x14ac:dyDescent="0.4">
      <c r="A5" s="1">
        <f>Resultados!A4</f>
        <v>4</v>
      </c>
      <c r="C5" s="8"/>
      <c r="M5" s="8"/>
      <c r="N5" s="6"/>
      <c r="O5" s="12"/>
      <c r="P5" s="20">
        <f>Resultados!A68</f>
        <v>68</v>
      </c>
    </row>
    <row r="6" spans="1:16" ht="16.5" thickTop="1" thickBot="1" x14ac:dyDescent="0.4">
      <c r="A6" s="2"/>
      <c r="C6" s="8"/>
      <c r="D6" s="13"/>
      <c r="L6" s="6"/>
      <c r="M6" s="11"/>
      <c r="N6" s="6"/>
      <c r="P6" s="20"/>
    </row>
    <row r="7" spans="1:16" ht="16.5" thickTop="1" thickBot="1" x14ac:dyDescent="0.4">
      <c r="A7" s="1">
        <f>Resultados!A5</f>
        <v>5</v>
      </c>
      <c r="C7" s="8"/>
      <c r="D7" s="12"/>
      <c r="L7" s="8"/>
      <c r="M7" s="15"/>
      <c r="N7" s="6"/>
      <c r="O7" s="8"/>
      <c r="P7" s="20">
        <f>Resultados!A69</f>
        <v>69</v>
      </c>
    </row>
    <row r="8" spans="1:16" ht="16.5" thickTop="1" thickBot="1" x14ac:dyDescent="0.4">
      <c r="A8" s="1">
        <f>Resultados!A6</f>
        <v>6</v>
      </c>
      <c r="B8" s="13"/>
      <c r="C8" s="8"/>
      <c r="D8" s="8"/>
      <c r="L8" s="8"/>
      <c r="M8" s="16"/>
      <c r="N8" s="6"/>
      <c r="O8" s="11"/>
      <c r="P8" s="20">
        <f>Resultados!A70</f>
        <v>70</v>
      </c>
    </row>
    <row r="9" spans="1:16" ht="16.5" thickTop="1" thickBot="1" x14ac:dyDescent="0.4">
      <c r="A9" s="2"/>
      <c r="B9" s="12"/>
      <c r="C9" s="14"/>
      <c r="D9" s="8"/>
      <c r="L9" s="8"/>
      <c r="M9" s="16"/>
      <c r="N9" s="14"/>
      <c r="P9" s="20"/>
    </row>
    <row r="10" spans="1:16" ht="16.5" thickTop="1" thickBot="1" x14ac:dyDescent="0.4">
      <c r="A10" s="1">
        <f>Resultados!A7</f>
        <v>7</v>
      </c>
      <c r="B10" s="14"/>
      <c r="D10" s="8"/>
      <c r="L10" s="8"/>
      <c r="N10" s="8"/>
      <c r="O10" s="14"/>
      <c r="P10" s="20">
        <f>Resultados!A71</f>
        <v>71</v>
      </c>
    </row>
    <row r="11" spans="1:16" ht="16.5" thickTop="1" thickBot="1" x14ac:dyDescent="0.4">
      <c r="A11" s="1">
        <f>Resultados!A8</f>
        <v>8</v>
      </c>
      <c r="D11" s="8"/>
      <c r="L11" s="8"/>
      <c r="O11" s="12"/>
      <c r="P11" s="21">
        <f>Resultados!A72</f>
        <v>72</v>
      </c>
    </row>
    <row r="12" spans="1:16" ht="16.5" thickTop="1" thickBot="1" x14ac:dyDescent="0.4">
      <c r="A12" s="2"/>
      <c r="D12" s="8"/>
      <c r="E12" s="13"/>
      <c r="L12" s="11"/>
      <c r="P12" s="20"/>
    </row>
    <row r="13" spans="1:16" ht="16.5" thickTop="1" thickBot="1" x14ac:dyDescent="0.4">
      <c r="A13" s="1">
        <f>Resultados!A9</f>
        <v>9</v>
      </c>
      <c r="D13" s="8"/>
      <c r="E13" s="12"/>
      <c r="K13" s="8"/>
      <c r="L13" s="8"/>
      <c r="O13" s="8"/>
      <c r="P13" s="20">
        <f>Resultados!A73</f>
        <v>73</v>
      </c>
    </row>
    <row r="14" spans="1:16" ht="16.5" thickTop="1" thickBot="1" x14ac:dyDescent="0.4">
      <c r="A14" s="1">
        <f>Resultados!A10</f>
        <v>10</v>
      </c>
      <c r="B14" s="13"/>
      <c r="D14" s="8"/>
      <c r="E14" s="8"/>
      <c r="K14" s="8"/>
      <c r="L14" s="8"/>
      <c r="O14" s="11"/>
      <c r="P14" s="20">
        <f>Resultados!A74</f>
        <v>74</v>
      </c>
    </row>
    <row r="15" spans="1:16" ht="16.5" thickTop="1" thickBot="1" x14ac:dyDescent="0.4">
      <c r="A15" s="2"/>
      <c r="B15" s="12"/>
      <c r="C15" s="13"/>
      <c r="D15" s="8"/>
      <c r="E15" s="8"/>
      <c r="K15" s="8"/>
      <c r="L15" s="8"/>
      <c r="N15" s="11"/>
      <c r="P15" s="20"/>
    </row>
    <row r="16" spans="1:16" ht="16.5" thickTop="1" thickBot="1" x14ac:dyDescent="0.4">
      <c r="A16" s="1">
        <f>Resultados!A11</f>
        <v>11</v>
      </c>
      <c r="B16" s="14"/>
      <c r="C16" s="12"/>
      <c r="D16" s="8"/>
      <c r="E16" s="8"/>
      <c r="K16" s="8"/>
      <c r="L16" s="8"/>
      <c r="M16" s="8"/>
      <c r="N16" s="8"/>
      <c r="O16" s="14"/>
      <c r="P16" s="20">
        <f>Resultados!A75</f>
        <v>75</v>
      </c>
    </row>
    <row r="17" spans="1:16" ht="16.5" thickTop="1" thickBot="1" x14ac:dyDescent="0.4">
      <c r="A17" s="1">
        <f>Resultados!A12</f>
        <v>12</v>
      </c>
      <c r="C17" s="8"/>
      <c r="D17" s="8"/>
      <c r="E17" s="8"/>
      <c r="K17" s="8"/>
      <c r="L17" s="8"/>
      <c r="M17" s="8"/>
      <c r="N17" s="6"/>
      <c r="O17" s="12"/>
      <c r="P17" s="21">
        <f>Resultados!A76</f>
        <v>76</v>
      </c>
    </row>
    <row r="18" spans="1:16" ht="16.5" thickTop="1" thickBot="1" x14ac:dyDescent="0.4">
      <c r="A18" s="2"/>
      <c r="C18" s="8"/>
      <c r="D18" s="14"/>
      <c r="E18" s="8"/>
      <c r="K18" s="8"/>
      <c r="L18" s="8"/>
      <c r="M18" s="14"/>
      <c r="N18" s="6"/>
      <c r="P18" s="20"/>
    </row>
    <row r="19" spans="1:16" ht="16.5" thickTop="1" thickBot="1" x14ac:dyDescent="0.4">
      <c r="A19" s="1">
        <f>Resultados!A13</f>
        <v>13</v>
      </c>
      <c r="C19" s="8"/>
      <c r="E19" s="8"/>
      <c r="K19" s="8"/>
      <c r="L19" s="17"/>
      <c r="M19" s="12"/>
      <c r="N19" s="6"/>
      <c r="O19" s="8"/>
      <c r="P19" s="20">
        <f>Resultados!A77</f>
        <v>77</v>
      </c>
    </row>
    <row r="20" spans="1:16" ht="16.5" thickTop="1" thickBot="1" x14ac:dyDescent="0.4">
      <c r="A20" s="1">
        <f>Resultados!A14</f>
        <v>14</v>
      </c>
      <c r="B20" s="13"/>
      <c r="C20" s="8"/>
      <c r="E20" s="8"/>
      <c r="K20" s="8"/>
      <c r="L20" s="17"/>
      <c r="M20" s="8"/>
      <c r="N20" s="6"/>
      <c r="O20" s="11"/>
      <c r="P20" s="20">
        <f>Resultados!A78</f>
        <v>78</v>
      </c>
    </row>
    <row r="21" spans="1:16" ht="16.5" thickTop="1" thickBot="1" x14ac:dyDescent="0.4">
      <c r="A21" s="2"/>
      <c r="B21" s="12"/>
      <c r="C21" s="14"/>
      <c r="E21" s="8"/>
      <c r="K21" s="8"/>
      <c r="L21" s="17"/>
      <c r="M21" s="8"/>
      <c r="N21" s="14"/>
      <c r="P21" s="20"/>
    </row>
    <row r="22" spans="1:16" ht="16.5" thickTop="1" thickBot="1" x14ac:dyDescent="0.4">
      <c r="A22" s="1">
        <f>Resultados!A15</f>
        <v>15</v>
      </c>
      <c r="B22" s="14"/>
      <c r="E22" s="8"/>
      <c r="K22" s="8"/>
      <c r="M22" s="6"/>
      <c r="N22" s="12"/>
      <c r="O22" s="14"/>
      <c r="P22" s="20">
        <f>Resultados!A79</f>
        <v>79</v>
      </c>
    </row>
    <row r="23" spans="1:16" ht="16.5" thickTop="1" thickBot="1" x14ac:dyDescent="0.4">
      <c r="A23" s="1">
        <f>Resultados!A16</f>
        <v>16</v>
      </c>
      <c r="E23" s="8"/>
      <c r="K23" s="8"/>
      <c r="M23" s="6"/>
      <c r="N23" s="6"/>
      <c r="O23" s="12"/>
      <c r="P23" s="21">
        <f>Resultados!A80</f>
        <v>80</v>
      </c>
    </row>
    <row r="24" spans="1:16" ht="16.5" thickTop="1" thickBot="1" x14ac:dyDescent="0.4">
      <c r="A24" s="2"/>
      <c r="E24" s="8"/>
      <c r="F24" s="17"/>
      <c r="K24" s="8"/>
      <c r="P24" s="20"/>
    </row>
    <row r="25" spans="1:16" ht="16.5" thickTop="1" thickBot="1" x14ac:dyDescent="0.4">
      <c r="A25" s="1">
        <f>Resultados!A17</f>
        <v>17</v>
      </c>
      <c r="E25" s="8"/>
      <c r="K25" s="8"/>
      <c r="O25" s="8"/>
      <c r="P25" s="20">
        <f>Resultados!A81</f>
        <v>81</v>
      </c>
    </row>
    <row r="26" spans="1:16" ht="16.5" thickTop="1" thickBot="1" x14ac:dyDescent="0.4">
      <c r="A26" s="1">
        <f>Resultados!A18</f>
        <v>18</v>
      </c>
      <c r="B26" s="13"/>
      <c r="E26" s="8"/>
      <c r="K26" s="8"/>
      <c r="O26" s="11"/>
      <c r="P26" s="20">
        <f>Resultados!A82</f>
        <v>82</v>
      </c>
    </row>
    <row r="27" spans="1:16" ht="16.5" thickTop="1" thickBot="1" x14ac:dyDescent="0.4">
      <c r="A27" s="2"/>
      <c r="B27" s="12"/>
      <c r="C27" s="10"/>
      <c r="E27" s="8"/>
      <c r="K27" s="8"/>
      <c r="N27" s="11"/>
      <c r="P27" s="20"/>
    </row>
    <row r="28" spans="1:16" ht="16.5" thickTop="1" thickBot="1" x14ac:dyDescent="0.4">
      <c r="A28" s="1">
        <f>Resultados!A19</f>
        <v>19</v>
      </c>
      <c r="B28" s="14"/>
      <c r="C28" s="12"/>
      <c r="E28" s="8"/>
      <c r="K28" s="8"/>
      <c r="M28" s="8"/>
      <c r="N28" s="15"/>
      <c r="O28" s="14"/>
      <c r="P28" s="20">
        <f>Resultados!A83</f>
        <v>83</v>
      </c>
    </row>
    <row r="29" spans="1:16" ht="16.5" thickTop="1" thickBot="1" x14ac:dyDescent="0.4">
      <c r="A29" s="1">
        <f>Resultados!A20</f>
        <v>20</v>
      </c>
      <c r="C29" s="8"/>
      <c r="E29" s="8"/>
      <c r="K29" s="8"/>
      <c r="M29" s="8"/>
      <c r="O29" s="12"/>
      <c r="P29" s="20">
        <f>Resultados!A84</f>
        <v>84</v>
      </c>
    </row>
    <row r="30" spans="1:16" ht="16.5" thickTop="1" thickBot="1" x14ac:dyDescent="0.4">
      <c r="A30" s="2"/>
      <c r="C30" s="8"/>
      <c r="D30" s="13"/>
      <c r="E30" s="8"/>
      <c r="K30" s="8"/>
      <c r="M30" s="11"/>
      <c r="P30" s="20"/>
    </row>
    <row r="31" spans="1:16" ht="16.5" thickTop="1" thickBot="1" x14ac:dyDescent="0.4">
      <c r="A31" s="1">
        <f>Resultados!A21</f>
        <v>21</v>
      </c>
      <c r="C31" s="8"/>
      <c r="D31" s="12"/>
      <c r="E31" s="8"/>
      <c r="K31" s="8"/>
      <c r="L31" s="8"/>
      <c r="M31" s="8"/>
      <c r="O31" s="8"/>
      <c r="P31" s="21">
        <f>Resultados!A85</f>
        <v>85</v>
      </c>
    </row>
    <row r="32" spans="1:16" ht="16.5" thickTop="1" thickBot="1" x14ac:dyDescent="0.4">
      <c r="A32" s="1">
        <f>Resultados!A22</f>
        <v>22</v>
      </c>
      <c r="B32" s="13"/>
      <c r="C32" s="8"/>
      <c r="D32" s="8"/>
      <c r="E32" s="8"/>
      <c r="K32" s="8"/>
      <c r="L32" s="8"/>
      <c r="M32" s="8"/>
      <c r="O32" s="11"/>
      <c r="P32" s="20">
        <f>Resultados!A86</f>
        <v>86</v>
      </c>
    </row>
    <row r="33" spans="1:16" ht="16.5" thickTop="1" thickBot="1" x14ac:dyDescent="0.4">
      <c r="A33" s="2"/>
      <c r="B33" s="12"/>
      <c r="C33" s="14"/>
      <c r="D33" s="8"/>
      <c r="E33" s="8"/>
      <c r="F33" s="13"/>
      <c r="K33" s="11"/>
      <c r="L33" s="8"/>
      <c r="M33" s="8"/>
      <c r="N33" s="14"/>
      <c r="P33" s="20"/>
    </row>
    <row r="34" spans="1:16" ht="16.5" thickTop="1" thickBot="1" x14ac:dyDescent="0.4">
      <c r="A34" s="1">
        <f>Resultados!A23</f>
        <v>23</v>
      </c>
      <c r="B34" s="14"/>
      <c r="D34" s="8"/>
      <c r="E34" s="8"/>
      <c r="F34" s="12"/>
      <c r="H34" s="22"/>
      <c r="I34" s="22"/>
      <c r="J34" s="8"/>
      <c r="K34" s="8"/>
      <c r="L34" s="8"/>
      <c r="N34" s="12"/>
      <c r="O34" s="14"/>
      <c r="P34" s="20">
        <f>Resultados!A87</f>
        <v>87</v>
      </c>
    </row>
    <row r="35" spans="1:16" ht="16.5" thickTop="1" thickBot="1" x14ac:dyDescent="0.4">
      <c r="A35" s="1">
        <f>Resultados!A24</f>
        <v>24</v>
      </c>
      <c r="D35" s="8"/>
      <c r="E35" s="8"/>
      <c r="F35" s="8"/>
      <c r="J35" s="8"/>
      <c r="K35" s="8"/>
      <c r="L35" s="8"/>
      <c r="O35" s="12"/>
      <c r="P35" s="21">
        <f>Resultados!A88</f>
        <v>88</v>
      </c>
    </row>
    <row r="36" spans="1:16" ht="16.5" thickTop="1" thickBot="1" x14ac:dyDescent="0.4">
      <c r="A36" s="2"/>
      <c r="D36" s="8"/>
      <c r="E36" s="14"/>
      <c r="F36" s="8"/>
      <c r="J36" s="8"/>
      <c r="K36" s="8"/>
      <c r="L36" s="14"/>
      <c r="P36" s="20"/>
    </row>
    <row r="37" spans="1:16" ht="16.5" thickTop="1" thickBot="1" x14ac:dyDescent="0.4">
      <c r="A37" s="1">
        <f>Resultados!A25</f>
        <v>25</v>
      </c>
      <c r="D37" s="8"/>
      <c r="F37" s="8"/>
      <c r="J37" s="8"/>
      <c r="L37" s="8"/>
      <c r="O37" s="8"/>
      <c r="P37" s="20">
        <f>Resultados!A89</f>
        <v>89</v>
      </c>
    </row>
    <row r="38" spans="1:16" ht="16.5" thickTop="1" thickBot="1" x14ac:dyDescent="0.4">
      <c r="A38" s="1">
        <f>Resultados!A26</f>
        <v>26</v>
      </c>
      <c r="B38" s="13"/>
      <c r="D38" s="8"/>
      <c r="F38" s="8"/>
      <c r="J38" s="8"/>
      <c r="L38" s="8"/>
      <c r="O38" s="11"/>
      <c r="P38" s="21">
        <f>Resultados!A90</f>
        <v>90</v>
      </c>
    </row>
    <row r="39" spans="1:16" ht="16.5" thickTop="1" thickBot="1" x14ac:dyDescent="0.4">
      <c r="A39" s="2"/>
      <c r="B39" s="12"/>
      <c r="C39" s="13"/>
      <c r="D39" s="8"/>
      <c r="F39" s="8"/>
      <c r="J39" s="8"/>
      <c r="L39" s="8"/>
      <c r="N39" s="11"/>
      <c r="P39" s="20"/>
    </row>
    <row r="40" spans="1:16" ht="16.5" thickTop="1" thickBot="1" x14ac:dyDescent="0.4">
      <c r="A40" s="1">
        <f>Resultados!A27</f>
        <v>27</v>
      </c>
      <c r="B40" s="14"/>
      <c r="C40" s="12"/>
      <c r="D40" s="8"/>
      <c r="F40" s="8"/>
      <c r="J40" s="8"/>
      <c r="L40" s="8"/>
      <c r="M40" s="8"/>
      <c r="N40" s="15"/>
      <c r="O40" s="14"/>
      <c r="P40" s="20">
        <f>Resultados!A91</f>
        <v>91</v>
      </c>
    </row>
    <row r="41" spans="1:16" ht="16.5" thickTop="1" thickBot="1" x14ac:dyDescent="0.4">
      <c r="A41" s="1">
        <f>Resultados!A28</f>
        <v>28</v>
      </c>
      <c r="C41" s="8"/>
      <c r="D41" s="8"/>
      <c r="F41" s="8"/>
      <c r="J41" s="8"/>
      <c r="L41" s="8"/>
      <c r="M41" s="8"/>
      <c r="O41" s="12"/>
      <c r="P41" s="19">
        <f>Resultados!A92</f>
        <v>92</v>
      </c>
    </row>
    <row r="42" spans="1:16" ht="16.5" thickTop="1" thickBot="1" x14ac:dyDescent="0.4">
      <c r="A42" s="2"/>
      <c r="C42" s="8"/>
      <c r="D42" s="14"/>
      <c r="F42" s="8"/>
      <c r="J42" s="8"/>
      <c r="L42" s="8"/>
      <c r="M42" s="14"/>
      <c r="P42" s="20"/>
    </row>
    <row r="43" spans="1:16" ht="16.5" thickTop="1" thickBot="1" x14ac:dyDescent="0.4">
      <c r="A43" s="1">
        <f>Resultados!A29</f>
        <v>29</v>
      </c>
      <c r="C43" s="8"/>
      <c r="F43" s="8"/>
      <c r="J43" s="8"/>
      <c r="M43" s="8"/>
      <c r="O43" s="8"/>
      <c r="P43" s="21">
        <f>Resultados!A93</f>
        <v>93</v>
      </c>
    </row>
    <row r="44" spans="1:16" ht="16.5" thickTop="1" thickBot="1" x14ac:dyDescent="0.4">
      <c r="A44" s="1">
        <f>Resultados!A30</f>
        <v>30</v>
      </c>
      <c r="B44" s="13"/>
      <c r="C44" s="8"/>
      <c r="F44" s="8"/>
      <c r="J44" s="8"/>
      <c r="M44" s="8"/>
      <c r="O44" s="11"/>
      <c r="P44" s="20">
        <f>Resultados!A94</f>
        <v>94</v>
      </c>
    </row>
    <row r="45" spans="1:16" ht="16.5" thickTop="1" thickBot="1" x14ac:dyDescent="0.4">
      <c r="A45" s="2"/>
      <c r="B45" s="12"/>
      <c r="C45" s="14"/>
      <c r="F45" s="8"/>
      <c r="H45" s="40"/>
      <c r="I45" s="40"/>
      <c r="J45" s="8"/>
      <c r="M45" s="8"/>
      <c r="N45" s="14"/>
      <c r="O45" s="6"/>
      <c r="P45" s="20"/>
    </row>
    <row r="46" spans="1:16" ht="16.5" thickTop="1" thickBot="1" x14ac:dyDescent="0.4">
      <c r="A46" s="1">
        <f>Resultados!A31</f>
        <v>31</v>
      </c>
      <c r="B46" s="14"/>
      <c r="F46" s="8"/>
      <c r="H46" s="12"/>
      <c r="J46" s="8"/>
      <c r="M46" s="6"/>
      <c r="N46" s="12"/>
      <c r="O46" s="14"/>
      <c r="P46" s="20">
        <f>Resultados!A95</f>
        <v>95</v>
      </c>
    </row>
    <row r="47" spans="1:16" ht="16.5" thickTop="1" thickBot="1" x14ac:dyDescent="0.4">
      <c r="A47" s="1">
        <f>Resultados!A32</f>
        <v>32</v>
      </c>
      <c r="F47" s="8"/>
      <c r="H47" s="8"/>
      <c r="J47" s="8"/>
      <c r="N47" s="6"/>
      <c r="O47" s="12"/>
      <c r="P47" s="21">
        <f>Resultados!A96</f>
        <v>96</v>
      </c>
    </row>
    <row r="48" spans="1:16" ht="16.5" thickTop="1" thickBot="1" x14ac:dyDescent="0.4">
      <c r="A48" s="2"/>
      <c r="F48" s="8"/>
      <c r="G48" s="13"/>
      <c r="H48" s="11"/>
      <c r="I48" s="13"/>
      <c r="J48" s="11"/>
      <c r="O48" s="6"/>
      <c r="P48" s="20"/>
    </row>
    <row r="49" spans="1:16" ht="16.5" thickTop="1" thickBot="1" x14ac:dyDescent="0.4">
      <c r="A49" s="1">
        <f>Resultados!A33</f>
        <v>33</v>
      </c>
      <c r="F49" s="8"/>
      <c r="J49" s="8"/>
      <c r="O49" s="8"/>
      <c r="P49" s="20">
        <f>Resultados!A97</f>
        <v>97</v>
      </c>
    </row>
    <row r="50" spans="1:16" ht="16.5" thickTop="1" thickBot="1" x14ac:dyDescent="0.4">
      <c r="A50" s="1">
        <f>Resultados!A34</f>
        <v>34</v>
      </c>
      <c r="B50" s="13"/>
      <c r="F50" s="8"/>
      <c r="J50" s="8"/>
      <c r="O50" s="11"/>
      <c r="P50" s="20">
        <f>Resultados!A98</f>
        <v>98</v>
      </c>
    </row>
    <row r="51" spans="1:16" ht="16.5" thickTop="1" thickBot="1" x14ac:dyDescent="0.4">
      <c r="A51" s="2"/>
      <c r="B51" s="12"/>
      <c r="C51" s="13"/>
      <c r="F51" s="8"/>
      <c r="J51" s="8"/>
      <c r="N51" s="11"/>
      <c r="P51" s="20"/>
    </row>
    <row r="52" spans="1:16" ht="16.5" thickTop="1" thickBot="1" x14ac:dyDescent="0.4">
      <c r="A52" s="1">
        <f>Resultados!A35</f>
        <v>35</v>
      </c>
      <c r="B52" s="14"/>
      <c r="C52" s="12"/>
      <c r="F52" s="8"/>
      <c r="J52" s="8"/>
      <c r="M52" s="8"/>
      <c r="N52" s="15"/>
      <c r="O52" s="14"/>
      <c r="P52" s="21">
        <f>Resultados!A99</f>
        <v>99</v>
      </c>
    </row>
    <row r="53" spans="1:16" ht="16.5" thickTop="1" thickBot="1" x14ac:dyDescent="0.4">
      <c r="A53" s="1">
        <f>Resultados!A36</f>
        <v>36</v>
      </c>
      <c r="C53" s="8"/>
      <c r="F53" s="8"/>
      <c r="J53" s="8"/>
      <c r="M53" s="8"/>
      <c r="O53" s="12"/>
      <c r="P53" s="21">
        <f>Resultados!A100</f>
        <v>100</v>
      </c>
    </row>
    <row r="54" spans="1:16" ht="16.5" thickTop="1" thickBot="1" x14ac:dyDescent="0.4">
      <c r="A54" s="2"/>
      <c r="C54" s="8"/>
      <c r="D54" s="13"/>
      <c r="F54" s="8"/>
      <c r="J54" s="8"/>
      <c r="M54" s="11"/>
      <c r="P54" s="20"/>
    </row>
    <row r="55" spans="1:16" ht="16.5" thickTop="1" thickBot="1" x14ac:dyDescent="0.4">
      <c r="A55" s="1">
        <f>Resultados!A37</f>
        <v>37</v>
      </c>
      <c r="C55" s="8"/>
      <c r="D55" s="12"/>
      <c r="F55" s="8"/>
      <c r="J55" s="8"/>
      <c r="L55" s="8"/>
      <c r="M55" s="8"/>
      <c r="O55" s="8"/>
      <c r="P55" s="21">
        <f>Resultados!A101</f>
        <v>101</v>
      </c>
    </row>
    <row r="56" spans="1:16" ht="16.5" thickTop="1" thickBot="1" x14ac:dyDescent="0.4">
      <c r="A56" s="1">
        <f>Resultados!A38</f>
        <v>38</v>
      </c>
      <c r="B56" s="13"/>
      <c r="C56" s="8"/>
      <c r="D56" s="8"/>
      <c r="F56" s="8"/>
      <c r="J56" s="8"/>
      <c r="L56" s="8"/>
      <c r="M56" s="8"/>
      <c r="O56" s="11"/>
      <c r="P56" s="20">
        <f>Resultados!A102</f>
        <v>102</v>
      </c>
    </row>
    <row r="57" spans="1:16" ht="16.5" thickTop="1" thickBot="1" x14ac:dyDescent="0.4">
      <c r="A57" s="2"/>
      <c r="B57" s="12"/>
      <c r="C57" s="14"/>
      <c r="D57" s="8"/>
      <c r="F57" s="8"/>
      <c r="J57" s="8"/>
      <c r="L57" s="8"/>
      <c r="M57" s="8"/>
      <c r="N57" s="14"/>
      <c r="O57" s="6"/>
      <c r="P57" s="20"/>
    </row>
    <row r="58" spans="1:16" ht="16.5" thickTop="1" thickBot="1" x14ac:dyDescent="0.4">
      <c r="A58" s="1">
        <f>Resultados!A39</f>
        <v>39</v>
      </c>
      <c r="B58" s="14"/>
      <c r="D58" s="8"/>
      <c r="F58" s="8"/>
      <c r="J58" s="8"/>
      <c r="L58" s="8"/>
      <c r="M58" s="17"/>
      <c r="N58" s="12"/>
      <c r="O58" s="14"/>
      <c r="P58" s="21">
        <f>Resultados!A103</f>
        <v>103</v>
      </c>
    </row>
    <row r="59" spans="1:16" ht="16.5" thickTop="1" thickBot="1" x14ac:dyDescent="0.4">
      <c r="A59" s="1">
        <f>Resultados!A40</f>
        <v>40</v>
      </c>
      <c r="D59" s="8"/>
      <c r="F59" s="8"/>
      <c r="J59" s="8"/>
      <c r="L59" s="8"/>
      <c r="N59" s="6"/>
      <c r="O59" s="12"/>
      <c r="P59" s="21">
        <f>Resultados!A104</f>
        <v>104</v>
      </c>
    </row>
    <row r="60" spans="1:16" ht="16.5" thickTop="1" thickBot="1" x14ac:dyDescent="0.4">
      <c r="A60" s="2"/>
      <c r="D60" s="8"/>
      <c r="E60" s="10"/>
      <c r="F60" s="8"/>
      <c r="J60" s="8"/>
      <c r="L60" s="11"/>
      <c r="P60" s="20"/>
    </row>
    <row r="61" spans="1:16" ht="16.5" thickTop="1" thickBot="1" x14ac:dyDescent="0.4">
      <c r="A61" s="1">
        <f>Resultados!A41</f>
        <v>41</v>
      </c>
      <c r="D61" s="8"/>
      <c r="E61" s="12"/>
      <c r="F61" s="8"/>
      <c r="J61" s="8"/>
      <c r="K61" s="8"/>
      <c r="L61" s="8"/>
      <c r="O61" s="8"/>
      <c r="P61" s="21">
        <f>Resultados!A105</f>
        <v>105</v>
      </c>
    </row>
    <row r="62" spans="1:16" ht="16.5" thickTop="1" thickBot="1" x14ac:dyDescent="0.4">
      <c r="A62" s="1">
        <f>Resultados!A42</f>
        <v>42</v>
      </c>
      <c r="B62" s="13"/>
      <c r="D62" s="8"/>
      <c r="E62" s="8"/>
      <c r="F62" s="8"/>
      <c r="J62" s="8"/>
      <c r="K62" s="8"/>
      <c r="L62" s="8"/>
      <c r="O62" s="11"/>
      <c r="P62" s="20">
        <f>Resultados!A106</f>
        <v>106</v>
      </c>
    </row>
    <row r="63" spans="1:16" ht="16.5" thickTop="1" thickBot="1" x14ac:dyDescent="0.4">
      <c r="A63" s="2"/>
      <c r="B63" s="12"/>
      <c r="C63" s="13"/>
      <c r="D63" s="8"/>
      <c r="E63" s="8"/>
      <c r="F63" s="8"/>
      <c r="J63" s="8"/>
      <c r="K63" s="8"/>
      <c r="L63" s="8"/>
      <c r="N63" s="11"/>
      <c r="O63" s="6"/>
      <c r="P63" s="20"/>
    </row>
    <row r="64" spans="1:16" ht="16.5" thickTop="1" thickBot="1" x14ac:dyDescent="0.4">
      <c r="A64" s="1">
        <f>Resultados!A43</f>
        <v>43</v>
      </c>
      <c r="B64" s="14"/>
      <c r="C64" s="12"/>
      <c r="D64" s="8"/>
      <c r="E64" s="8"/>
      <c r="F64" s="8"/>
      <c r="J64" s="8"/>
      <c r="K64" s="8"/>
      <c r="L64" s="8"/>
      <c r="M64" s="8"/>
      <c r="N64" s="8"/>
      <c r="O64" s="14"/>
      <c r="P64" s="21">
        <f>Resultados!A107</f>
        <v>107</v>
      </c>
    </row>
    <row r="65" spans="1:16" ht="16.5" thickTop="1" thickBot="1" x14ac:dyDescent="0.4">
      <c r="A65" s="1">
        <f>Resultados!A44</f>
        <v>44</v>
      </c>
      <c r="C65" s="8"/>
      <c r="D65" s="8"/>
      <c r="E65" s="8"/>
      <c r="F65" s="8"/>
      <c r="J65" s="8"/>
      <c r="K65" s="8"/>
      <c r="L65" s="8"/>
      <c r="M65" s="8"/>
      <c r="N65" s="6"/>
      <c r="O65" s="12"/>
      <c r="P65" s="19">
        <f>Resultados!A108</f>
        <v>108</v>
      </c>
    </row>
    <row r="66" spans="1:16" ht="16.5" thickTop="1" thickBot="1" x14ac:dyDescent="0.4">
      <c r="A66" s="2"/>
      <c r="C66" s="8"/>
      <c r="D66" s="14"/>
      <c r="E66" s="8"/>
      <c r="F66" s="8"/>
      <c r="J66" s="8"/>
      <c r="K66" s="8"/>
      <c r="L66" s="8"/>
      <c r="M66" s="14"/>
      <c r="N66" s="6"/>
      <c r="O66" s="6"/>
      <c r="P66" s="20"/>
    </row>
    <row r="67" spans="1:16" ht="16.5" thickTop="1" thickBot="1" x14ac:dyDescent="0.4">
      <c r="A67" s="1">
        <f>Resultados!A45</f>
        <v>45</v>
      </c>
      <c r="C67" s="8"/>
      <c r="E67" s="8"/>
      <c r="F67" s="8"/>
      <c r="J67" s="8"/>
      <c r="K67" s="8"/>
      <c r="L67" s="17"/>
      <c r="M67" s="12"/>
      <c r="N67" s="6"/>
      <c r="O67" s="8"/>
      <c r="P67" s="21">
        <f>Resultados!A109</f>
        <v>109</v>
      </c>
    </row>
    <row r="68" spans="1:16" ht="16.5" thickTop="1" thickBot="1" x14ac:dyDescent="0.4">
      <c r="A68" s="1">
        <f>Resultados!A46</f>
        <v>46</v>
      </c>
      <c r="B68" s="13"/>
      <c r="C68" s="8"/>
      <c r="E68" s="8"/>
      <c r="F68" s="8"/>
      <c r="J68" s="8"/>
      <c r="K68" s="8"/>
      <c r="M68" s="8"/>
      <c r="N68" s="6"/>
      <c r="O68" s="11"/>
      <c r="P68" s="20">
        <f>Resultados!A110</f>
        <v>110</v>
      </c>
    </row>
    <row r="69" spans="1:16" ht="16.5" thickTop="1" thickBot="1" x14ac:dyDescent="0.4">
      <c r="A69" s="2"/>
      <c r="B69" s="12"/>
      <c r="C69" s="14"/>
      <c r="E69" s="8"/>
      <c r="F69" s="14"/>
      <c r="J69" s="8"/>
      <c r="K69" s="14"/>
      <c r="M69" s="8"/>
      <c r="N69" s="14"/>
      <c r="O69" s="6"/>
      <c r="P69" s="20"/>
    </row>
    <row r="70" spans="1:16" ht="16.5" thickTop="1" thickBot="1" x14ac:dyDescent="0.4">
      <c r="A70" s="1">
        <f>Resultados!A47</f>
        <v>47</v>
      </c>
      <c r="B70" s="14"/>
      <c r="E70" s="8"/>
      <c r="K70" s="8"/>
      <c r="M70" s="6"/>
      <c r="N70" s="12"/>
      <c r="O70" s="14"/>
      <c r="P70" s="21">
        <f>Resultados!A111</f>
        <v>111</v>
      </c>
    </row>
    <row r="71" spans="1:16" ht="16.5" thickTop="1" thickBot="1" x14ac:dyDescent="0.4">
      <c r="A71" s="1">
        <f>Resultados!A48</f>
        <v>48</v>
      </c>
      <c r="E71" s="8"/>
      <c r="K71" s="8"/>
      <c r="N71" s="6"/>
      <c r="O71" s="12"/>
      <c r="P71" s="21">
        <f>Resultados!A112</f>
        <v>112</v>
      </c>
    </row>
    <row r="72" spans="1:16" ht="16.5" thickTop="1" thickBot="1" x14ac:dyDescent="0.4">
      <c r="A72" s="2"/>
      <c r="E72" s="8"/>
      <c r="K72" s="8"/>
      <c r="P72" s="20"/>
    </row>
    <row r="73" spans="1:16" ht="16.5" thickTop="1" thickBot="1" x14ac:dyDescent="0.4">
      <c r="A73" s="1">
        <f>Resultados!A49</f>
        <v>49</v>
      </c>
      <c r="E73" s="8"/>
      <c r="K73" s="8"/>
      <c r="O73" s="8"/>
      <c r="P73" s="21">
        <f>Resultados!A113</f>
        <v>113</v>
      </c>
    </row>
    <row r="74" spans="1:16" ht="16.5" thickTop="1" thickBot="1" x14ac:dyDescent="0.4">
      <c r="A74" s="1">
        <f>Resultados!A50</f>
        <v>50</v>
      </c>
      <c r="B74" s="13"/>
      <c r="E74" s="8"/>
      <c r="K74" s="8"/>
      <c r="O74" s="11"/>
      <c r="P74" s="20">
        <f>Resultados!A114</f>
        <v>114</v>
      </c>
    </row>
    <row r="75" spans="1:16" ht="16.5" thickTop="1" thickBot="1" x14ac:dyDescent="0.4">
      <c r="A75" s="2"/>
      <c r="B75" s="12"/>
      <c r="C75" s="13"/>
      <c r="E75" s="8"/>
      <c r="K75" s="8"/>
      <c r="N75" s="11"/>
      <c r="P75" s="20"/>
    </row>
    <row r="76" spans="1:16" ht="16.5" thickTop="1" thickBot="1" x14ac:dyDescent="0.4">
      <c r="A76" s="1">
        <f>Resultados!A51</f>
        <v>51</v>
      </c>
      <c r="B76" s="14"/>
      <c r="C76" s="12"/>
      <c r="E76" s="8"/>
      <c r="K76" s="8"/>
      <c r="M76" s="8"/>
      <c r="N76" s="15"/>
      <c r="O76" s="14"/>
      <c r="P76" s="19">
        <f>Resultados!A115</f>
        <v>115</v>
      </c>
    </row>
    <row r="77" spans="1:16" ht="16.5" thickTop="1" thickBot="1" x14ac:dyDescent="0.4">
      <c r="A77" s="1">
        <f>Resultados!A52</f>
        <v>52</v>
      </c>
      <c r="C77" s="8"/>
      <c r="E77" s="8"/>
      <c r="K77" s="8"/>
      <c r="M77" s="8"/>
      <c r="O77" s="12"/>
      <c r="P77" s="19">
        <f>Resultados!A116</f>
        <v>116</v>
      </c>
    </row>
    <row r="78" spans="1:16" ht="16.5" thickTop="1" thickBot="1" x14ac:dyDescent="0.4">
      <c r="A78" s="2"/>
      <c r="C78" s="8"/>
      <c r="D78" s="13"/>
      <c r="E78" s="8"/>
      <c r="K78" s="8"/>
      <c r="M78" s="11"/>
      <c r="P78" s="20"/>
    </row>
    <row r="79" spans="1:16" ht="16.5" thickTop="1" thickBot="1" x14ac:dyDescent="0.4">
      <c r="A79" s="1">
        <f>Resultados!A53</f>
        <v>53</v>
      </c>
      <c r="C79" s="8"/>
      <c r="D79" s="12"/>
      <c r="E79" s="8"/>
      <c r="K79" s="8"/>
      <c r="L79" s="8"/>
      <c r="M79" s="8"/>
      <c r="O79" s="8"/>
      <c r="P79" s="21">
        <f>Resultados!A117</f>
        <v>117</v>
      </c>
    </row>
    <row r="80" spans="1:16" ht="16.5" thickTop="1" thickBot="1" x14ac:dyDescent="0.4">
      <c r="A80" s="1">
        <f>Resultados!A54</f>
        <v>54</v>
      </c>
      <c r="B80" s="10"/>
      <c r="C80" s="8"/>
      <c r="D80" s="8"/>
      <c r="E80" s="8"/>
      <c r="K80" s="8"/>
      <c r="L80" s="8"/>
      <c r="M80" s="8"/>
      <c r="O80" s="11"/>
      <c r="P80" s="20">
        <f>Resultados!A118</f>
        <v>118</v>
      </c>
    </row>
    <row r="81" spans="1:16" ht="16.5" thickTop="1" thickBot="1" x14ac:dyDescent="0.4">
      <c r="A81" s="2"/>
      <c r="B81" s="12"/>
      <c r="C81" s="14"/>
      <c r="D81" s="8"/>
      <c r="E81" s="8"/>
      <c r="K81" s="8"/>
      <c r="L81" s="8"/>
      <c r="M81" s="8"/>
      <c r="N81" s="14"/>
      <c r="P81" s="20"/>
    </row>
    <row r="82" spans="1:16" ht="16.5" thickTop="1" thickBot="1" x14ac:dyDescent="0.4">
      <c r="A82" s="1">
        <f>Resultados!A55</f>
        <v>55</v>
      </c>
      <c r="B82" s="14"/>
      <c r="D82" s="8"/>
      <c r="E82" s="8"/>
      <c r="K82" s="8"/>
      <c r="L82" s="8"/>
      <c r="M82" s="17"/>
      <c r="N82" s="12"/>
      <c r="O82" s="14"/>
      <c r="P82" s="21">
        <f>Resultados!A119</f>
        <v>119</v>
      </c>
    </row>
    <row r="83" spans="1:16" ht="16.5" thickTop="1" thickBot="1" x14ac:dyDescent="0.4">
      <c r="A83" s="1">
        <f>Resultados!A56</f>
        <v>56</v>
      </c>
      <c r="D83" s="8"/>
      <c r="E83" s="8"/>
      <c r="K83" s="8"/>
      <c r="L83" s="8"/>
      <c r="O83" s="12"/>
      <c r="P83" s="21">
        <f>Resultados!A120</f>
        <v>120</v>
      </c>
    </row>
    <row r="84" spans="1:16" ht="16.5" thickTop="1" thickBot="1" x14ac:dyDescent="0.4">
      <c r="A84" s="2"/>
      <c r="D84" s="8"/>
      <c r="E84" s="14"/>
      <c r="K84" s="8"/>
      <c r="L84" s="14"/>
      <c r="P84" s="20"/>
    </row>
    <row r="85" spans="1:16" ht="16.5" thickTop="1" thickBot="1" x14ac:dyDescent="0.4">
      <c r="A85" s="1">
        <f>Resultados!A57</f>
        <v>57</v>
      </c>
      <c r="D85" s="8"/>
      <c r="L85" s="8"/>
      <c r="O85" s="8"/>
      <c r="P85" s="21">
        <f>Resultados!A121</f>
        <v>121</v>
      </c>
    </row>
    <row r="86" spans="1:16" ht="16.5" thickTop="1" thickBot="1" x14ac:dyDescent="0.4">
      <c r="A86" s="1">
        <f>Resultados!A58</f>
        <v>58</v>
      </c>
      <c r="B86" s="13"/>
      <c r="D86" s="8"/>
      <c r="L86" s="8"/>
      <c r="O86" s="11"/>
      <c r="P86" s="20">
        <f>Resultados!A122</f>
        <v>122</v>
      </c>
    </row>
    <row r="87" spans="1:16" ht="16.5" thickTop="1" thickBot="1" x14ac:dyDescent="0.4">
      <c r="A87" s="2"/>
      <c r="B87" s="12"/>
      <c r="C87" s="13"/>
      <c r="D87" s="8"/>
      <c r="L87" s="8"/>
      <c r="N87" s="11"/>
      <c r="P87" s="20"/>
    </row>
    <row r="88" spans="1:16" ht="16.5" thickTop="1" thickBot="1" x14ac:dyDescent="0.4">
      <c r="A88" s="1">
        <f>Resultados!A59</f>
        <v>59</v>
      </c>
      <c r="B88" s="14"/>
      <c r="C88" s="12"/>
      <c r="D88" s="8"/>
      <c r="L88" s="8"/>
      <c r="M88" s="8"/>
      <c r="N88" s="15"/>
      <c r="O88" s="14"/>
      <c r="P88" s="21">
        <f>Resultados!A123</f>
        <v>123</v>
      </c>
    </row>
    <row r="89" spans="1:16" ht="16.5" thickTop="1" thickBot="1" x14ac:dyDescent="0.4">
      <c r="A89" s="1">
        <f>Resultados!A60</f>
        <v>60</v>
      </c>
      <c r="C89" s="8"/>
      <c r="D89" s="8"/>
      <c r="L89" s="8"/>
      <c r="M89" s="8"/>
      <c r="O89" s="12"/>
      <c r="P89" s="21">
        <f>Resultados!A124</f>
        <v>124</v>
      </c>
    </row>
    <row r="90" spans="1:16" ht="16.5" thickTop="1" thickBot="1" x14ac:dyDescent="0.4">
      <c r="A90" s="2"/>
      <c r="C90" s="8"/>
      <c r="D90" s="14"/>
      <c r="L90" s="8"/>
      <c r="M90" s="14"/>
      <c r="P90" s="20"/>
    </row>
    <row r="91" spans="1:16" ht="16.5" thickTop="1" thickBot="1" x14ac:dyDescent="0.4">
      <c r="A91" s="1">
        <f>Resultados!A61</f>
        <v>61</v>
      </c>
      <c r="B91" s="17"/>
      <c r="C91" s="8"/>
      <c r="M91" s="8"/>
      <c r="O91" s="8"/>
      <c r="P91" s="21">
        <f>Resultados!A125</f>
        <v>125</v>
      </c>
    </row>
    <row r="92" spans="1:16" ht="16.5" thickTop="1" thickBot="1" x14ac:dyDescent="0.4">
      <c r="A92" s="1">
        <f>Resultados!A62</f>
        <v>62</v>
      </c>
      <c r="B92" s="13"/>
      <c r="C92" s="8"/>
      <c r="M92" s="8"/>
      <c r="O92" s="11"/>
      <c r="P92" s="20">
        <f>Resultados!A126</f>
        <v>126</v>
      </c>
    </row>
    <row r="93" spans="1:16" ht="16.5" thickTop="1" thickBot="1" x14ac:dyDescent="0.4">
      <c r="A93" s="2"/>
      <c r="B93" s="12"/>
      <c r="C93" s="14"/>
      <c r="M93" s="8"/>
      <c r="N93" s="14"/>
      <c r="P93" s="20"/>
    </row>
    <row r="94" spans="1:16" ht="16.5" thickTop="1" thickBot="1" x14ac:dyDescent="0.4">
      <c r="A94" s="1">
        <f>Resultados!A63</f>
        <v>63</v>
      </c>
      <c r="B94" s="14"/>
      <c r="C94" s="18"/>
      <c r="N94" s="12"/>
      <c r="O94" s="14"/>
      <c r="P94" s="21">
        <f>Resultados!A127</f>
        <v>127</v>
      </c>
    </row>
    <row r="95" spans="1:16" ht="16.5" thickTop="1" thickBot="1" x14ac:dyDescent="0.4">
      <c r="A95" s="1">
        <f>Resultados!A64</f>
        <v>64</v>
      </c>
      <c r="O95" s="12"/>
      <c r="P95" s="21">
        <f>Resultados!A128</f>
        <v>128</v>
      </c>
    </row>
    <row r="96" spans="1:16" ht="16" thickTop="1" x14ac:dyDescent="0.35"/>
  </sheetData>
  <sheetProtection selectLockedCells="1"/>
  <mergeCells count="1">
    <mergeCell ref="H45:I45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7">
        <x14:dataValidation type="list" allowBlank="1" showInputMessage="1" showErrorMessage="1" xr:uid="{22DE00CA-2156-4804-945A-9FCD17317260}">
          <x14:formula1>
            <xm:f>Resultados!$G$1:$G$2</xm:f>
          </x14:formula1>
          <xm:sqref>H45:I45</xm:sqref>
        </x14:dataValidation>
        <x14:dataValidation type="list" allowBlank="1" showInputMessage="1" showErrorMessage="1" xr:uid="{E9F4B696-D856-4A68-A8AC-1A6BA7DF0360}">
          <x14:formula1>
            <xm:f>Resultados!$F$3:$F$4</xm:f>
          </x14:formula1>
          <xm:sqref>J48</xm:sqref>
        </x14:dataValidation>
        <x14:dataValidation type="list" allowBlank="1" showInputMessage="1" showErrorMessage="1" xr:uid="{66EBA0BE-961F-439B-936E-A2D60EF78876}">
          <x14:formula1>
            <xm:f>Resultados!$F$1:$F$2</xm:f>
          </x14:formula1>
          <xm:sqref>G48</xm:sqref>
        </x14:dataValidation>
        <x14:dataValidation type="list" allowBlank="1" showInputMessage="1" showErrorMessage="1" xr:uid="{ACFB97E7-621A-4D0F-8500-79418B686D00}">
          <x14:formula1>
            <xm:f>Resultados!$E$7:$E$8</xm:f>
          </x14:formula1>
          <xm:sqref>K69</xm:sqref>
        </x14:dataValidation>
        <x14:dataValidation type="list" allowBlank="1" showInputMessage="1" showErrorMessage="1" xr:uid="{A665A8BD-4E40-4E1F-8053-4792B8082921}">
          <x14:formula1>
            <xm:f>Resultados!$E$5:$E$6</xm:f>
          </x14:formula1>
          <xm:sqref>K33</xm:sqref>
        </x14:dataValidation>
        <x14:dataValidation type="list" allowBlank="1" showInputMessage="1" showErrorMessage="1" xr:uid="{BFF15691-D76B-4A24-AEAE-AE0E875C85CA}">
          <x14:formula1>
            <xm:f>Resultados!$E$3:$E$4</xm:f>
          </x14:formula1>
          <xm:sqref>F69</xm:sqref>
        </x14:dataValidation>
        <x14:dataValidation type="list" allowBlank="1" showInputMessage="1" showErrorMessage="1" xr:uid="{0819D130-BC86-4021-878E-2B7A36E80FDD}">
          <x14:formula1>
            <xm:f>Resultados!$E$1:$E$2</xm:f>
          </x14:formula1>
          <xm:sqref>F33</xm:sqref>
        </x14:dataValidation>
        <x14:dataValidation type="list" allowBlank="1" showInputMessage="1" showErrorMessage="1" xr:uid="{FB134E63-0107-45EF-820D-FA0322550690}">
          <x14:formula1>
            <xm:f>Resultados!$D$15:$D$16</xm:f>
          </x14:formula1>
          <xm:sqref>L84</xm:sqref>
        </x14:dataValidation>
        <x14:dataValidation type="list" allowBlank="1" showInputMessage="1" showErrorMessage="1" xr:uid="{2FCFFE53-A1B3-4088-B9FC-34F606360744}">
          <x14:formula1>
            <xm:f>Resultados!$D$13:$D$14</xm:f>
          </x14:formula1>
          <xm:sqref>L60</xm:sqref>
        </x14:dataValidation>
        <x14:dataValidation type="list" allowBlank="1" showInputMessage="1" showErrorMessage="1" xr:uid="{EBE2F229-A565-4DC9-B3D7-1113D9ED190C}">
          <x14:formula1>
            <xm:f>Resultados!$D$11:$D$12</xm:f>
          </x14:formula1>
          <xm:sqref>L36</xm:sqref>
        </x14:dataValidation>
        <x14:dataValidation type="list" allowBlank="1" showInputMessage="1" showErrorMessage="1" xr:uid="{2939A4F6-CD07-416A-BF5A-2691AB2AAFB7}">
          <x14:formula1>
            <xm:f>Resultados!$D$9:$D$10</xm:f>
          </x14:formula1>
          <xm:sqref>L12</xm:sqref>
        </x14:dataValidation>
        <x14:dataValidation type="list" allowBlank="1" showInputMessage="1" showErrorMessage="1" xr:uid="{2CA3FE3E-4901-430E-B4F7-0D76993F58E8}">
          <x14:formula1>
            <xm:f>Resultados!$D$7:$D$8</xm:f>
          </x14:formula1>
          <xm:sqref>E84</xm:sqref>
        </x14:dataValidation>
        <x14:dataValidation type="list" allowBlank="1" showInputMessage="1" showErrorMessage="1" xr:uid="{21B41763-8B39-475E-B53C-A77C783AFD2D}">
          <x14:formula1>
            <xm:f>Resultados!$D$5:$D$6</xm:f>
          </x14:formula1>
          <xm:sqref>E60</xm:sqref>
        </x14:dataValidation>
        <x14:dataValidation type="list" allowBlank="1" showInputMessage="1" showErrorMessage="1" xr:uid="{87D25627-99DC-41AC-BEC7-39799D2AB7BC}">
          <x14:formula1>
            <xm:f>Resultados!$D$3:$D$4</xm:f>
          </x14:formula1>
          <xm:sqref>E36</xm:sqref>
        </x14:dataValidation>
        <x14:dataValidation type="list" allowBlank="1" showInputMessage="1" showErrorMessage="1" xr:uid="{4263AD0C-4C2E-4397-AF43-6060A437314E}">
          <x14:formula1>
            <xm:f>Resultados!$D$1:$D$2</xm:f>
          </x14:formula1>
          <xm:sqref>E12</xm:sqref>
        </x14:dataValidation>
        <x14:dataValidation type="list" allowBlank="1" showInputMessage="1" showErrorMessage="1" xr:uid="{E0078889-51CC-4C6D-92E3-5F34F014CF30}">
          <x14:formula1>
            <xm:f>Resultados!$C$15:$C$16</xm:f>
          </x14:formula1>
          <xm:sqref>D90</xm:sqref>
        </x14:dataValidation>
        <x14:dataValidation type="list" allowBlank="1" showInputMessage="1" showErrorMessage="1" xr:uid="{84D7FED7-26ED-44B7-83E7-0959A8656DEC}">
          <x14:formula1>
            <xm:f>Resultados!$C$13:$C$14</xm:f>
          </x14:formula1>
          <xm:sqref>D78</xm:sqref>
        </x14:dataValidation>
        <x14:dataValidation type="list" allowBlank="1" showInputMessage="1" showErrorMessage="1" xr:uid="{6928F54D-0236-44F5-9BAE-0C48B3B14609}">
          <x14:formula1>
            <xm:f>Resultados!$C$11:$C$12</xm:f>
          </x14:formula1>
          <xm:sqref>D66</xm:sqref>
        </x14:dataValidation>
        <x14:dataValidation type="list" allowBlank="1" showInputMessage="1" showErrorMessage="1" xr:uid="{C23E8BF6-5EB9-4926-AE0A-EF475BAC1B01}">
          <x14:formula1>
            <xm:f>Resultados!$C$9:$C$10</xm:f>
          </x14:formula1>
          <xm:sqref>D54</xm:sqref>
        </x14:dataValidation>
        <x14:dataValidation type="list" allowBlank="1" showInputMessage="1" showErrorMessage="1" xr:uid="{251FC63D-37A6-444C-9520-C899E98AA00A}">
          <x14:formula1>
            <xm:f>Resultados!$C$7:$C$8</xm:f>
          </x14:formula1>
          <xm:sqref>D42</xm:sqref>
        </x14:dataValidation>
        <x14:dataValidation type="list" allowBlank="1" showInputMessage="1" showErrorMessage="1" xr:uid="{6BF529F6-ABF3-4918-8898-C4569D49488A}">
          <x14:formula1>
            <xm:f>Resultados!$C$5:$C$6</xm:f>
          </x14:formula1>
          <xm:sqref>D30</xm:sqref>
        </x14:dataValidation>
        <x14:dataValidation type="list" allowBlank="1" showInputMessage="1" showErrorMessage="1" xr:uid="{42EB04B0-7875-410F-930D-272218E84B07}">
          <x14:formula1>
            <xm:f>Resultados!$C$3:$C$4</xm:f>
          </x14:formula1>
          <xm:sqref>D18</xm:sqref>
        </x14:dataValidation>
        <x14:dataValidation type="list" allowBlank="1" showInputMessage="1" showErrorMessage="1" xr:uid="{48FF03A5-F6B2-4869-838E-A245C8772B13}">
          <x14:formula1>
            <xm:f>Resultados!$C$1:$C$2</xm:f>
          </x14:formula1>
          <xm:sqref>D6</xm:sqref>
        </x14:dataValidation>
        <x14:dataValidation type="list" allowBlank="1" showInputMessage="1" showErrorMessage="1" xr:uid="{9A013B3F-3AE6-46DC-A9FC-6727C7931CFE}">
          <x14:formula1>
            <xm:f>Resultados!$A$127:$A$128</xm:f>
          </x14:formula1>
          <xm:sqref>O94</xm:sqref>
        </x14:dataValidation>
        <x14:dataValidation type="list" allowBlank="1" showInputMessage="1" showErrorMessage="1" xr:uid="{D934EA45-E0AE-4684-B06B-D02194C1FB91}">
          <x14:formula1>
            <xm:f>Resultados!$A$125:$A$126</xm:f>
          </x14:formula1>
          <xm:sqref>O92</xm:sqref>
        </x14:dataValidation>
        <x14:dataValidation type="list" allowBlank="1" showInputMessage="1" showErrorMessage="1" xr:uid="{5F931C27-5314-48B5-BEE5-D910EA2A57B5}">
          <x14:formula1>
            <xm:f>Resultados!$A$123:$A$124</xm:f>
          </x14:formula1>
          <xm:sqref>O88</xm:sqref>
        </x14:dataValidation>
        <x14:dataValidation type="list" allowBlank="1" showInputMessage="1" showErrorMessage="1" xr:uid="{9317B1DE-CC68-4C74-BED8-C4C2A387D7D8}">
          <x14:formula1>
            <xm:f>Resultados!$A$121:$A$122</xm:f>
          </x14:formula1>
          <xm:sqref>O86</xm:sqref>
        </x14:dataValidation>
        <x14:dataValidation type="list" allowBlank="1" showInputMessage="1" showErrorMessage="1" xr:uid="{CF1157C1-A612-4334-BEDA-2E271494A6E3}">
          <x14:formula1>
            <xm:f>Resultados!$A$119:$A$120</xm:f>
          </x14:formula1>
          <xm:sqref>O82</xm:sqref>
        </x14:dataValidation>
        <x14:dataValidation type="list" allowBlank="1" showInputMessage="1" showErrorMessage="1" xr:uid="{1B071C91-F5F3-4E11-A688-7838579F68C7}">
          <x14:formula1>
            <xm:f>Resultados!$A$117:$A$118</xm:f>
          </x14:formula1>
          <xm:sqref>O80</xm:sqref>
        </x14:dataValidation>
        <x14:dataValidation type="list" allowBlank="1" showInputMessage="1" showErrorMessage="1" xr:uid="{67F6EFB9-DABC-4FD9-AE53-576123F74DDB}">
          <x14:formula1>
            <xm:f>Resultados!$A$115:$A$116</xm:f>
          </x14:formula1>
          <xm:sqref>O76</xm:sqref>
        </x14:dataValidation>
        <x14:dataValidation type="list" allowBlank="1" showInputMessage="1" showErrorMessage="1" xr:uid="{AB78EF70-FB6B-49CD-8B19-4B2A81131060}">
          <x14:formula1>
            <xm:f>Resultados!$A$113:$A$114</xm:f>
          </x14:formula1>
          <xm:sqref>O74</xm:sqref>
        </x14:dataValidation>
        <x14:dataValidation type="list" allowBlank="1" showInputMessage="1" showErrorMessage="1" xr:uid="{E62B1E33-E3FB-45AE-8B4C-C25B0560D02C}">
          <x14:formula1>
            <xm:f>Resultados!$A$111:$A$112</xm:f>
          </x14:formula1>
          <xm:sqref>O70</xm:sqref>
        </x14:dataValidation>
        <x14:dataValidation type="list" allowBlank="1" showInputMessage="1" showErrorMessage="1" xr:uid="{CA3E18C7-D819-4574-9966-20147181A944}">
          <x14:formula1>
            <xm:f>Resultados!$A$109:$A$110</xm:f>
          </x14:formula1>
          <xm:sqref>O68</xm:sqref>
        </x14:dataValidation>
        <x14:dataValidation type="list" allowBlank="1" showInputMessage="1" showErrorMessage="1" xr:uid="{97FF4EAE-5808-4994-B234-ABEAC715977F}">
          <x14:formula1>
            <xm:f>Resultados!$A$107:$A$108</xm:f>
          </x14:formula1>
          <xm:sqref>O64</xm:sqref>
        </x14:dataValidation>
        <x14:dataValidation type="list" allowBlank="1" showInputMessage="1" showErrorMessage="1" xr:uid="{B8DF50D0-A072-411E-A58B-ED9C9BF01E24}">
          <x14:formula1>
            <xm:f>Resultados!$A$105:$A$106</xm:f>
          </x14:formula1>
          <xm:sqref>O62</xm:sqref>
        </x14:dataValidation>
        <x14:dataValidation type="list" allowBlank="1" showInputMessage="1" showErrorMessage="1" xr:uid="{B6AFDA1B-49F2-47F7-9267-351C176191A6}">
          <x14:formula1>
            <xm:f>Resultados!$A$103:$A$104</xm:f>
          </x14:formula1>
          <xm:sqref>O58</xm:sqref>
        </x14:dataValidation>
        <x14:dataValidation type="list" allowBlank="1" showInputMessage="1" showErrorMessage="1" xr:uid="{ED65CF7D-30E2-4EED-AADF-D03A750E955F}">
          <x14:formula1>
            <xm:f>Resultados!$A$101:$A$102</xm:f>
          </x14:formula1>
          <xm:sqref>O56</xm:sqref>
        </x14:dataValidation>
        <x14:dataValidation type="list" allowBlank="1" showInputMessage="1" showErrorMessage="1" xr:uid="{57F8735F-6151-4F6E-B43A-6C79AB5AB1EF}">
          <x14:formula1>
            <xm:f>Resultados!$A$99:$A$100</xm:f>
          </x14:formula1>
          <xm:sqref>O52</xm:sqref>
        </x14:dataValidation>
        <x14:dataValidation type="list" allowBlank="1" showInputMessage="1" showErrorMessage="1" xr:uid="{3141D706-E311-4CF8-9F18-27888230E782}">
          <x14:formula1>
            <xm:f>Resultados!$A$97:$A$98</xm:f>
          </x14:formula1>
          <xm:sqref>O50</xm:sqref>
        </x14:dataValidation>
        <x14:dataValidation type="list" allowBlank="1" showInputMessage="1" showErrorMessage="1" xr:uid="{79293EB5-1923-4F79-BC66-DED21BA25B23}">
          <x14:formula1>
            <xm:f>Resultados!$A$95:$A$96</xm:f>
          </x14:formula1>
          <xm:sqref>O46</xm:sqref>
        </x14:dataValidation>
        <x14:dataValidation type="list" allowBlank="1" showInputMessage="1" showErrorMessage="1" xr:uid="{73752ABC-AF35-441F-A3DF-82864BD9894C}">
          <x14:formula1>
            <xm:f>Resultados!$A$93:$A$94</xm:f>
          </x14:formula1>
          <xm:sqref>O44</xm:sqref>
        </x14:dataValidation>
        <x14:dataValidation type="list" allowBlank="1" showInputMessage="1" showErrorMessage="1" xr:uid="{6F9F3E6F-5002-4CE8-8262-81B820044BB8}">
          <x14:formula1>
            <xm:f>Resultados!$A$91:$A$92</xm:f>
          </x14:formula1>
          <xm:sqref>O40</xm:sqref>
        </x14:dataValidation>
        <x14:dataValidation type="list" allowBlank="1" showInputMessage="1" showErrorMessage="1" xr:uid="{464C00BB-C55C-452F-BF77-A5990216953D}">
          <x14:formula1>
            <xm:f>Resultados!$A$89:$A$90</xm:f>
          </x14:formula1>
          <xm:sqref>O38</xm:sqref>
        </x14:dataValidation>
        <x14:dataValidation type="list" allowBlank="1" showInputMessage="1" showErrorMessage="1" xr:uid="{20C399A7-34FE-48F0-AE13-24B0E739C096}">
          <x14:formula1>
            <xm:f>Resultados!$A$87:$A$88</xm:f>
          </x14:formula1>
          <xm:sqref>O34</xm:sqref>
        </x14:dataValidation>
        <x14:dataValidation type="list" allowBlank="1" showInputMessage="1" showErrorMessage="1" xr:uid="{00EEBAF5-8ADE-4426-8D1D-459193D3E0F6}">
          <x14:formula1>
            <xm:f>Resultados!$A$85:$A$86</xm:f>
          </x14:formula1>
          <xm:sqref>O32</xm:sqref>
        </x14:dataValidation>
        <x14:dataValidation type="list" allowBlank="1" showInputMessage="1" showErrorMessage="1" xr:uid="{BBAE1EF4-ADB0-4527-B506-A29496F7813A}">
          <x14:formula1>
            <xm:f>Resultados!$A$83:$A$84</xm:f>
          </x14:formula1>
          <xm:sqref>O28</xm:sqref>
        </x14:dataValidation>
        <x14:dataValidation type="list" allowBlank="1" showInputMessage="1" showErrorMessage="1" xr:uid="{03B811B6-11C5-4C30-91DF-7DA921B7B803}">
          <x14:formula1>
            <xm:f>Resultados!$A$81:$A$82</xm:f>
          </x14:formula1>
          <xm:sqref>O26</xm:sqref>
        </x14:dataValidation>
        <x14:dataValidation type="list" allowBlank="1" showInputMessage="1" showErrorMessage="1" xr:uid="{BC3CFEC0-477E-40D6-9C03-9CDB66E64DDA}">
          <x14:formula1>
            <xm:f>Resultados!$A$79:$A$80</xm:f>
          </x14:formula1>
          <xm:sqref>O22</xm:sqref>
        </x14:dataValidation>
        <x14:dataValidation type="list" allowBlank="1" showInputMessage="1" showErrorMessage="1" xr:uid="{B3B13D22-3E52-46DA-AA3E-5D44D4473993}">
          <x14:formula1>
            <xm:f>Resultados!$A$77:$A$78</xm:f>
          </x14:formula1>
          <xm:sqref>O20</xm:sqref>
        </x14:dataValidation>
        <x14:dataValidation type="list" allowBlank="1" showInputMessage="1" showErrorMessage="1" xr:uid="{EF5EFC1C-9A71-40EC-8F21-17A2CABDE20D}">
          <x14:formula1>
            <xm:f>Resultados!$A$75:$A$76</xm:f>
          </x14:formula1>
          <xm:sqref>O16</xm:sqref>
        </x14:dataValidation>
        <x14:dataValidation type="list" allowBlank="1" showInputMessage="1" showErrorMessage="1" xr:uid="{AE64D99E-43FF-47D0-86C2-06DD55CCD3A0}">
          <x14:formula1>
            <xm:f>Resultados!$A$73:$A$74</xm:f>
          </x14:formula1>
          <xm:sqref>O14</xm:sqref>
        </x14:dataValidation>
        <x14:dataValidation type="list" allowBlank="1" showInputMessage="1" showErrorMessage="1" xr:uid="{53F8A51E-29D4-44AE-A9E3-1261F70BF9DE}">
          <x14:formula1>
            <xm:f>Resultados!$A$71:$A$72</xm:f>
          </x14:formula1>
          <xm:sqref>O10</xm:sqref>
        </x14:dataValidation>
        <x14:dataValidation type="list" allowBlank="1" showInputMessage="1" showErrorMessage="1" xr:uid="{3FFF66F5-56CF-47AF-88F9-EE8C303FC7DC}">
          <x14:formula1>
            <xm:f>Resultados!$A$69:$A$70</xm:f>
          </x14:formula1>
          <xm:sqref>O8</xm:sqref>
        </x14:dataValidation>
        <x14:dataValidation type="list" allowBlank="1" showInputMessage="1" showErrorMessage="1" xr:uid="{1E113559-1A43-4C35-B20D-085A794689D8}">
          <x14:formula1>
            <xm:f>Resultados!$A$67:$A$68</xm:f>
          </x14:formula1>
          <xm:sqref>O4</xm:sqref>
        </x14:dataValidation>
        <x14:dataValidation type="list" allowBlank="1" showInputMessage="1" showErrorMessage="1" xr:uid="{CEC2591D-711F-469B-A29A-DA451FAA9262}">
          <x14:formula1>
            <xm:f>Resultados!$A$65:$A$66</xm:f>
          </x14:formula1>
          <xm:sqref>O2</xm:sqref>
        </x14:dataValidation>
        <x14:dataValidation type="list" allowBlank="1" showInputMessage="1" showErrorMessage="1" xr:uid="{BB70BF7F-3F68-4E6A-85C4-40172DC7A49A}">
          <x14:formula1>
            <xm:f>Resultados!$B$31:$B$32</xm:f>
          </x14:formula1>
          <xm:sqref>C93</xm:sqref>
        </x14:dataValidation>
        <x14:dataValidation type="list" allowBlank="1" showInputMessage="1" showErrorMessage="1" xr:uid="{D106F820-FFC8-474F-8862-BF99511DFE92}">
          <x14:formula1>
            <xm:f>Resultados!$B$29:$B$30</xm:f>
          </x14:formula1>
          <xm:sqref>C87</xm:sqref>
        </x14:dataValidation>
        <x14:dataValidation type="list" allowBlank="1" showInputMessage="1" showErrorMessage="1" xr:uid="{0D4C142F-F640-480C-A762-9613EB742E2C}">
          <x14:formula1>
            <xm:f>Resultados!$B$27:$B$28</xm:f>
          </x14:formula1>
          <xm:sqref>C81</xm:sqref>
        </x14:dataValidation>
        <x14:dataValidation type="list" allowBlank="1" showInputMessage="1" showErrorMessage="1" xr:uid="{F4085439-2E0D-4FE5-8F08-DFF812D5F14D}">
          <x14:formula1>
            <xm:f>Resultados!$B$25:$B$26</xm:f>
          </x14:formula1>
          <xm:sqref>C75</xm:sqref>
        </x14:dataValidation>
        <x14:dataValidation type="list" allowBlank="1" showInputMessage="1" showErrorMessage="1" xr:uid="{30FFC4FE-6187-4610-9AD0-AC35CE0A9E24}">
          <x14:formula1>
            <xm:f>Resultados!$B$23:$B$24</xm:f>
          </x14:formula1>
          <xm:sqref>C69</xm:sqref>
        </x14:dataValidation>
        <x14:dataValidation type="list" allowBlank="1" showInputMessage="1" showErrorMessage="1" xr:uid="{115A73B8-5898-44C3-8410-0621927EF75C}">
          <x14:formula1>
            <xm:f>Resultados!$B$21:$B$22</xm:f>
          </x14:formula1>
          <xm:sqref>C63</xm:sqref>
        </x14:dataValidation>
        <x14:dataValidation type="list" allowBlank="1" showInputMessage="1" showErrorMessage="1" xr:uid="{6882172F-405A-44BE-B773-02235FC20405}">
          <x14:formula1>
            <xm:f>Resultados!$B$19:$B$20</xm:f>
          </x14:formula1>
          <xm:sqref>C57</xm:sqref>
        </x14:dataValidation>
        <x14:dataValidation type="list" allowBlank="1" showInputMessage="1" showErrorMessage="1" xr:uid="{455FF16A-7A50-4388-83C3-DD55DEFD3806}">
          <x14:formula1>
            <xm:f>Resultados!$B$17:$B$18</xm:f>
          </x14:formula1>
          <xm:sqref>C51</xm:sqref>
        </x14:dataValidation>
        <x14:dataValidation type="list" allowBlank="1" showInputMessage="1" showErrorMessage="1" xr:uid="{F7E56FFD-0E4D-47CD-AB49-43CAE544DCEF}">
          <x14:formula1>
            <xm:f>Resultados!$B$15:$B$16</xm:f>
          </x14:formula1>
          <xm:sqref>C45</xm:sqref>
        </x14:dataValidation>
        <x14:dataValidation type="list" allowBlank="1" showInputMessage="1" showErrorMessage="1" xr:uid="{1FF71537-8EEB-4DE7-9E17-5209307A4373}">
          <x14:formula1>
            <xm:f>Resultados!$B$13:$B$14</xm:f>
          </x14:formula1>
          <xm:sqref>C39</xm:sqref>
        </x14:dataValidation>
        <x14:dataValidation type="list" allowBlank="1" showInputMessage="1" showErrorMessage="1" xr:uid="{ABC27272-4F4B-4985-B868-D9ED691B985D}">
          <x14:formula1>
            <xm:f>Resultados!$B$11:$B$12</xm:f>
          </x14:formula1>
          <xm:sqref>C33</xm:sqref>
        </x14:dataValidation>
        <x14:dataValidation type="list" allowBlank="1" showInputMessage="1" showErrorMessage="1" xr:uid="{E390B4EE-EF21-45A0-86E2-B7DB4990BBDB}">
          <x14:formula1>
            <xm:f>Resultados!$B$9:$B$10</xm:f>
          </x14:formula1>
          <xm:sqref>C27</xm:sqref>
        </x14:dataValidation>
        <x14:dataValidation type="list" allowBlank="1" showInputMessage="1" showErrorMessage="1" xr:uid="{1DE4B419-DDB6-4869-8F45-7C973EF811BB}">
          <x14:formula1>
            <xm:f>Resultados!$B$7:$B$8</xm:f>
          </x14:formula1>
          <xm:sqref>C21</xm:sqref>
        </x14:dataValidation>
        <x14:dataValidation type="list" allowBlank="1" showInputMessage="1" showErrorMessage="1" xr:uid="{49AC5EF8-31C8-4FD8-A2AC-EC944B585CDE}">
          <x14:formula1>
            <xm:f>Resultados!$B$5:$B$6</xm:f>
          </x14:formula1>
          <xm:sqref>C15</xm:sqref>
        </x14:dataValidation>
        <x14:dataValidation type="list" allowBlank="1" showInputMessage="1" showErrorMessage="1" xr:uid="{6688CEA2-4100-4651-88BB-F652C6F59698}">
          <x14:formula1>
            <xm:f>Resultados!$B$3:$B$4</xm:f>
          </x14:formula1>
          <xm:sqref>C9</xm:sqref>
        </x14:dataValidation>
        <x14:dataValidation type="list" allowBlank="1" showInputMessage="1" showErrorMessage="1" xr:uid="{59A7F96D-8744-4B7E-BDB1-52163519964B}">
          <x14:formula1>
            <xm:f>Resultados!$A$63:$A$64</xm:f>
          </x14:formula1>
          <xm:sqref>B94</xm:sqref>
        </x14:dataValidation>
        <x14:dataValidation type="list" allowBlank="1" showInputMessage="1" showErrorMessage="1" xr:uid="{6C776CAD-D342-42E9-BAB9-799F2065E1A0}">
          <x14:formula1>
            <xm:f>Resultados!$A$61:$A$62</xm:f>
          </x14:formula1>
          <xm:sqref>B92</xm:sqref>
        </x14:dataValidation>
        <x14:dataValidation type="list" allowBlank="1" showInputMessage="1" showErrorMessage="1" xr:uid="{DCFB049C-D7C0-4877-B9A7-FEB1BEF06AC9}">
          <x14:formula1>
            <xm:f>Resultados!$A$59:$A$60</xm:f>
          </x14:formula1>
          <xm:sqref>B88</xm:sqref>
        </x14:dataValidation>
        <x14:dataValidation type="list" allowBlank="1" showInputMessage="1" showErrorMessage="1" xr:uid="{AE71A103-DC23-4C53-B162-269308705C12}">
          <x14:formula1>
            <xm:f>Resultados!$A$57:$A$58</xm:f>
          </x14:formula1>
          <xm:sqref>B86</xm:sqref>
        </x14:dataValidation>
        <x14:dataValidation type="list" allowBlank="1" showInputMessage="1" showErrorMessage="1" xr:uid="{D9EBC299-251E-43A1-A1F5-7E53DE22CBAD}">
          <x14:formula1>
            <xm:f>Resultados!$A$55:$A$56</xm:f>
          </x14:formula1>
          <xm:sqref>B82</xm:sqref>
        </x14:dataValidation>
        <x14:dataValidation type="list" allowBlank="1" showInputMessage="1" showErrorMessage="1" xr:uid="{DEA6BB02-480D-495D-BE13-EDFFC13E08D2}">
          <x14:formula1>
            <xm:f>Resultados!$A$53:$A$54</xm:f>
          </x14:formula1>
          <xm:sqref>B80</xm:sqref>
        </x14:dataValidation>
        <x14:dataValidation type="list" allowBlank="1" showInputMessage="1" showErrorMessage="1" xr:uid="{4944A563-9191-4B6F-B07A-F8CA658C7D65}">
          <x14:formula1>
            <xm:f>Resultados!$A$51:$A$52</xm:f>
          </x14:formula1>
          <xm:sqref>B76</xm:sqref>
        </x14:dataValidation>
        <x14:dataValidation type="list" allowBlank="1" showInputMessage="1" showErrorMessage="1" xr:uid="{DED53A30-8F81-4732-963A-32CE5DFE5364}">
          <x14:formula1>
            <xm:f>Resultados!$A$49:$A$50</xm:f>
          </x14:formula1>
          <xm:sqref>B74</xm:sqref>
        </x14:dataValidation>
        <x14:dataValidation type="list" allowBlank="1" showInputMessage="1" showErrorMessage="1" xr:uid="{BB54CA10-B2F2-4907-B6E4-815CC840A678}">
          <x14:formula1>
            <xm:f>Resultados!$A$47:$A$48</xm:f>
          </x14:formula1>
          <xm:sqref>B70</xm:sqref>
        </x14:dataValidation>
        <x14:dataValidation type="list" allowBlank="1" showInputMessage="1" showErrorMessage="1" xr:uid="{B17AABE1-4CFA-49C9-86DE-B2E2CCEB5D17}">
          <x14:formula1>
            <xm:f>Resultados!$A$45:$A$46</xm:f>
          </x14:formula1>
          <xm:sqref>B68</xm:sqref>
        </x14:dataValidation>
        <x14:dataValidation type="list" allowBlank="1" showInputMessage="1" showErrorMessage="1" xr:uid="{576CBAE8-EE71-439E-9003-4BEAB8610E52}">
          <x14:formula1>
            <xm:f>Resultados!$A$43:$A$44</xm:f>
          </x14:formula1>
          <xm:sqref>B64</xm:sqref>
        </x14:dataValidation>
        <x14:dataValidation type="list" allowBlank="1" showInputMessage="1" showErrorMessage="1" xr:uid="{9789D22D-AF27-4EA2-8C6B-24ADDB31B710}">
          <x14:formula1>
            <xm:f>Resultados!$A$41:$A$42</xm:f>
          </x14:formula1>
          <xm:sqref>B62</xm:sqref>
        </x14:dataValidation>
        <x14:dataValidation type="list" allowBlank="1" showInputMessage="1" showErrorMessage="1" xr:uid="{7A6FAE94-9C4E-452E-B086-B6549C009256}">
          <x14:formula1>
            <xm:f>Resultados!$A$39:$A$40</xm:f>
          </x14:formula1>
          <xm:sqref>B58</xm:sqref>
        </x14:dataValidation>
        <x14:dataValidation type="list" allowBlank="1" showInputMessage="1" showErrorMessage="1" xr:uid="{63E58F54-0827-4DC5-80FA-D535EBF0A575}">
          <x14:formula1>
            <xm:f>Resultados!$A$37:$A$38</xm:f>
          </x14:formula1>
          <xm:sqref>B56</xm:sqref>
        </x14:dataValidation>
        <x14:dataValidation type="list" allowBlank="1" showInputMessage="1" showErrorMessage="1" xr:uid="{2835A586-CC88-4472-9309-8BB15AD60DE9}">
          <x14:formula1>
            <xm:f>Resultados!$A$35:$A$36</xm:f>
          </x14:formula1>
          <xm:sqref>B52</xm:sqref>
        </x14:dataValidation>
        <x14:dataValidation type="list" allowBlank="1" showInputMessage="1" showErrorMessage="1" xr:uid="{979BBEB9-EDE0-4AEE-AC0E-64388135C652}">
          <x14:formula1>
            <xm:f>Resultados!$A$33:$A$34</xm:f>
          </x14:formula1>
          <xm:sqref>B50</xm:sqref>
        </x14:dataValidation>
        <x14:dataValidation type="list" allowBlank="1" showInputMessage="1" showErrorMessage="1" xr:uid="{244E7417-437D-42C3-B41E-2D5B0F8ECFA8}">
          <x14:formula1>
            <xm:f>Resultados!$A$31:$A$32</xm:f>
          </x14:formula1>
          <xm:sqref>B46</xm:sqref>
        </x14:dataValidation>
        <x14:dataValidation type="list" allowBlank="1" showInputMessage="1" showErrorMessage="1" xr:uid="{F4D9632F-DFA9-4459-8BA0-C1A0876473E7}">
          <x14:formula1>
            <xm:f>Resultados!$A$29:$A$30</xm:f>
          </x14:formula1>
          <xm:sqref>B44</xm:sqref>
        </x14:dataValidation>
        <x14:dataValidation type="list" allowBlank="1" showInputMessage="1" showErrorMessage="1" xr:uid="{913F6D07-2D7C-4E1F-9324-461F9701AB31}">
          <x14:formula1>
            <xm:f>Resultados!$A$27:$A$28</xm:f>
          </x14:formula1>
          <xm:sqref>B40</xm:sqref>
        </x14:dataValidation>
        <x14:dataValidation type="list" allowBlank="1" showInputMessage="1" showErrorMessage="1" xr:uid="{C5CD4FAF-60A5-4534-AB4B-29C703BC3F55}">
          <x14:formula1>
            <xm:f>Resultados!$A$25:$A$26</xm:f>
          </x14:formula1>
          <xm:sqref>B38</xm:sqref>
        </x14:dataValidation>
        <x14:dataValidation type="list" allowBlank="1" showInputMessage="1" showErrorMessage="1" xr:uid="{A43FA86F-B7B0-4751-88D3-9B51085E7988}">
          <x14:formula1>
            <xm:f>Resultados!$A$23:$A$24</xm:f>
          </x14:formula1>
          <xm:sqref>B34</xm:sqref>
        </x14:dataValidation>
        <x14:dataValidation type="list" allowBlank="1" showInputMessage="1" showErrorMessage="1" xr:uid="{DF2E8111-F538-46B0-AF8D-151FE26CE0A5}">
          <x14:formula1>
            <xm:f>Resultados!$A$21:$A$22</xm:f>
          </x14:formula1>
          <xm:sqref>B32</xm:sqref>
        </x14:dataValidation>
        <x14:dataValidation type="list" allowBlank="1" showInputMessage="1" showErrorMessage="1" xr:uid="{8673B799-3A65-415E-A4F7-6D98DA33BE67}">
          <x14:formula1>
            <xm:f>Resultados!$A$19:$A$20</xm:f>
          </x14:formula1>
          <xm:sqref>B28</xm:sqref>
        </x14:dataValidation>
        <x14:dataValidation type="list" allowBlank="1" showInputMessage="1" showErrorMessage="1" xr:uid="{59194484-E5BF-4F43-BD61-BA61F806B4D7}">
          <x14:formula1>
            <xm:f>Resultados!$A$17:$A$18</xm:f>
          </x14:formula1>
          <xm:sqref>B26</xm:sqref>
        </x14:dataValidation>
        <x14:dataValidation type="list" allowBlank="1" showInputMessage="1" showErrorMessage="1" xr:uid="{CA312136-A08E-4EDF-8BD0-3222744D3A0B}">
          <x14:formula1>
            <xm:f>Resultados!$A$15:$A$16</xm:f>
          </x14:formula1>
          <xm:sqref>B22</xm:sqref>
        </x14:dataValidation>
        <x14:dataValidation type="list" allowBlank="1" showInputMessage="1" showErrorMessage="1" xr:uid="{026ECBB3-9177-41D7-A375-8D2C4714F092}">
          <x14:formula1>
            <xm:f>Resultados!$A$13:$A$14</xm:f>
          </x14:formula1>
          <xm:sqref>B20</xm:sqref>
        </x14:dataValidation>
        <x14:dataValidation type="list" allowBlank="1" showInputMessage="1" showErrorMessage="1" xr:uid="{8E635DD5-7BF0-437E-B11C-2FC206836298}">
          <x14:formula1>
            <xm:f>Resultados!$A$11:$A$12</xm:f>
          </x14:formula1>
          <xm:sqref>B16</xm:sqref>
        </x14:dataValidation>
        <x14:dataValidation type="list" allowBlank="1" showInputMessage="1" showErrorMessage="1" xr:uid="{5A52110D-BDE0-409F-BE3C-0EB78BDE4522}">
          <x14:formula1>
            <xm:f>Resultados!$A$9:$A$10</xm:f>
          </x14:formula1>
          <xm:sqref>B14</xm:sqref>
        </x14:dataValidation>
        <x14:dataValidation type="list" allowBlank="1" showInputMessage="1" showErrorMessage="1" xr:uid="{22EB7F13-A5B0-43DE-9A2E-B3B2B19577E0}">
          <x14:formula1>
            <xm:f>Resultados!$A$7:$A$8</xm:f>
          </x14:formula1>
          <xm:sqref>B10</xm:sqref>
        </x14:dataValidation>
        <x14:dataValidation type="list" allowBlank="1" showInputMessage="1" showErrorMessage="1" xr:uid="{707C25B9-ABB6-40DF-AAD2-E5319AA0D824}">
          <x14:formula1>
            <xm:f>Resultados!$A$5:$A$6</xm:f>
          </x14:formula1>
          <xm:sqref>B8</xm:sqref>
        </x14:dataValidation>
        <x14:dataValidation type="list" allowBlank="1" showInputMessage="1" showErrorMessage="1" xr:uid="{5A4C1CFC-55C4-470E-96D4-30A9F2495F32}">
          <x14:formula1>
            <xm:f>Resultados!$B$1:$B$2</xm:f>
          </x14:formula1>
          <xm:sqref>C3</xm:sqref>
        </x14:dataValidation>
        <x14:dataValidation type="list" allowBlank="1" showInputMessage="1" showErrorMessage="1" xr:uid="{6EAB5899-A4A2-45AD-A32D-81D24500B223}">
          <x14:formula1>
            <xm:f>Resultados!$A$3:$A$4</xm:f>
          </x14:formula1>
          <xm:sqref>B4</xm:sqref>
        </x14:dataValidation>
        <x14:dataValidation type="list" allowBlank="1" showInputMessage="1" showErrorMessage="1" xr:uid="{58DA9B43-43FB-44A2-9A5E-884026DB1FAA}">
          <x14:formula1>
            <xm:f>Resultados!$A$1:$A$2</xm:f>
          </x14:formula1>
          <xm:sqref>B2</xm:sqref>
        </x14:dataValidation>
        <x14:dataValidation type="list" allowBlank="1" showInputMessage="1" showErrorMessage="1" xr:uid="{7C34B796-31FF-42E0-B380-EB39B01958BB}">
          <x14:formula1>
            <xm:f>Resultados!$C$29:$C$30</xm:f>
          </x14:formula1>
          <xm:sqref>M78</xm:sqref>
        </x14:dataValidation>
        <x14:dataValidation type="list" allowBlank="1" showInputMessage="1" showErrorMessage="1" xr:uid="{3BCEBEF2-981C-4F0D-B32B-DB59D79CD496}">
          <x14:formula1>
            <xm:f>Resultados!$C$27:$C$28</xm:f>
          </x14:formula1>
          <xm:sqref>M66</xm:sqref>
        </x14:dataValidation>
        <x14:dataValidation type="list" allowBlank="1" showInputMessage="1" showErrorMessage="1" xr:uid="{69F4C58B-651B-44BA-9205-28A1AE9451D5}">
          <x14:formula1>
            <xm:f>Resultados!$C$25:$C$26</xm:f>
          </x14:formula1>
          <xm:sqref>M54</xm:sqref>
        </x14:dataValidation>
        <x14:dataValidation type="list" allowBlank="1" showInputMessage="1" showErrorMessage="1" xr:uid="{241D7565-6EA3-4F39-B4D8-01039FECCA40}">
          <x14:formula1>
            <xm:f>Resultados!$C$23:$C$24</xm:f>
          </x14:formula1>
          <xm:sqref>M42</xm:sqref>
        </x14:dataValidation>
        <x14:dataValidation type="list" allowBlank="1" showInputMessage="1" showErrorMessage="1" xr:uid="{4C9DE73B-6BA1-4DBF-86BA-8F65306EB1E0}">
          <x14:formula1>
            <xm:f>Resultados!$C$21:$C$22</xm:f>
          </x14:formula1>
          <xm:sqref>M30</xm:sqref>
        </x14:dataValidation>
        <x14:dataValidation type="list" allowBlank="1" showInputMessage="1" showErrorMessage="1" xr:uid="{2DC806F9-5B30-4FFD-A713-5E78F14F58F2}">
          <x14:formula1>
            <xm:f>Resultados!$C$19:$C$20</xm:f>
          </x14:formula1>
          <xm:sqref>M18</xm:sqref>
        </x14:dataValidation>
        <x14:dataValidation type="list" allowBlank="1" showInputMessage="1" showErrorMessage="1" xr:uid="{0CEBAF0A-018A-402B-A4F1-E5E77B2C6DC6}">
          <x14:formula1>
            <xm:f>Resultados!$C$17:$C$18</xm:f>
          </x14:formula1>
          <xm:sqref>M6</xm:sqref>
        </x14:dataValidation>
        <x14:dataValidation type="list" allowBlank="1" showInputMessage="1" showErrorMessage="1" xr:uid="{57F0FA26-BCFF-4D70-994D-E5C82260ED1A}">
          <x14:formula1>
            <xm:f>Resultados!$B$63:$B$64</xm:f>
          </x14:formula1>
          <xm:sqref>N93</xm:sqref>
        </x14:dataValidation>
        <x14:dataValidation type="list" allowBlank="1" showInputMessage="1" showErrorMessage="1" xr:uid="{1B3E81E0-9F3B-49DD-8D0F-3FE933F4B5CA}">
          <x14:formula1>
            <xm:f>Resultados!$B$61:$B$62</xm:f>
          </x14:formula1>
          <xm:sqref>N87</xm:sqref>
        </x14:dataValidation>
        <x14:dataValidation type="list" allowBlank="1" showInputMessage="1" showErrorMessage="1" xr:uid="{FCA43651-5F60-407C-B857-07807D88DD19}">
          <x14:formula1>
            <xm:f>Resultados!$B$59:$B$60</xm:f>
          </x14:formula1>
          <xm:sqref>N81</xm:sqref>
        </x14:dataValidation>
        <x14:dataValidation type="list" allowBlank="1" showInputMessage="1" showErrorMessage="1" xr:uid="{0CCD81D1-49A8-4451-AADC-12295329A152}">
          <x14:formula1>
            <xm:f>Resultados!$B$57:$B$58</xm:f>
          </x14:formula1>
          <xm:sqref>N75</xm:sqref>
        </x14:dataValidation>
        <x14:dataValidation type="list" allowBlank="1" showInputMessage="1" showErrorMessage="1" xr:uid="{91DA8205-46F4-4CDA-B12D-6B362E6B8965}">
          <x14:formula1>
            <xm:f>Resultados!$B$55:$B$56</xm:f>
          </x14:formula1>
          <xm:sqref>N69</xm:sqref>
        </x14:dataValidation>
        <x14:dataValidation type="list" allowBlank="1" showInputMessage="1" showErrorMessage="1" xr:uid="{839B11C1-04A3-458B-9DA4-194C8E97C43E}">
          <x14:formula1>
            <xm:f>Resultados!$B$53:$B$54</xm:f>
          </x14:formula1>
          <xm:sqref>N63</xm:sqref>
        </x14:dataValidation>
        <x14:dataValidation type="list" allowBlank="1" showInputMessage="1" showErrorMessage="1" xr:uid="{C43A211F-B318-49BA-A791-E780A2BFF5B8}">
          <x14:formula1>
            <xm:f>Resultados!$B$51:$B$52</xm:f>
          </x14:formula1>
          <xm:sqref>N57</xm:sqref>
        </x14:dataValidation>
        <x14:dataValidation type="list" allowBlank="1" showInputMessage="1" showErrorMessage="1" xr:uid="{64C08E84-4615-4449-A0DE-C941BBC981EE}">
          <x14:formula1>
            <xm:f>Resultados!$B$49:$B$50</xm:f>
          </x14:formula1>
          <xm:sqref>N51</xm:sqref>
        </x14:dataValidation>
        <x14:dataValidation type="list" allowBlank="1" showInputMessage="1" showErrorMessage="1" xr:uid="{2AE3D36A-2CA8-456E-BF4B-166B32B6FE66}">
          <x14:formula1>
            <xm:f>Resultados!$B$47:$B$48</xm:f>
          </x14:formula1>
          <xm:sqref>N45</xm:sqref>
        </x14:dataValidation>
        <x14:dataValidation type="list" allowBlank="1" showInputMessage="1" showErrorMessage="1" xr:uid="{532DF8EC-18E1-4BC4-9664-1F05E1161BCC}">
          <x14:formula1>
            <xm:f>Resultados!$B$45:$B$46</xm:f>
          </x14:formula1>
          <xm:sqref>N39</xm:sqref>
        </x14:dataValidation>
        <x14:dataValidation type="list" allowBlank="1" showInputMessage="1" showErrorMessage="1" xr:uid="{7BAE7677-CAC7-4834-B3FB-EB997B62DF7D}">
          <x14:formula1>
            <xm:f>Resultados!$B$43:$B$44</xm:f>
          </x14:formula1>
          <xm:sqref>N33</xm:sqref>
        </x14:dataValidation>
        <x14:dataValidation type="list" allowBlank="1" showInputMessage="1" showErrorMessage="1" xr:uid="{105419F3-04E6-4608-8EBB-434CB24BC5A9}">
          <x14:formula1>
            <xm:f>Resultados!$B$41:$B$42</xm:f>
          </x14:formula1>
          <xm:sqref>N27</xm:sqref>
        </x14:dataValidation>
        <x14:dataValidation type="list" allowBlank="1" showInputMessage="1" showErrorMessage="1" xr:uid="{0E272661-434D-4D36-8D55-C61689EF0D8C}">
          <x14:formula1>
            <xm:f>Resultados!$B$39:$B$40</xm:f>
          </x14:formula1>
          <xm:sqref>N21</xm:sqref>
        </x14:dataValidation>
        <x14:dataValidation type="list" allowBlank="1" showInputMessage="1" showErrorMessage="1" xr:uid="{DDBCC554-2ED2-445A-8E39-17D5A79280CC}">
          <x14:formula1>
            <xm:f>Resultados!$B$37:$B$38</xm:f>
          </x14:formula1>
          <xm:sqref>N15</xm:sqref>
        </x14:dataValidation>
        <x14:dataValidation type="list" allowBlank="1" showInputMessage="1" showErrorMessage="1" xr:uid="{08BD3C2D-B9B0-42A1-840A-5DD0D554F3D1}">
          <x14:formula1>
            <xm:f>Resultados!$B$35:$B$36</xm:f>
          </x14:formula1>
          <xm:sqref>N9</xm:sqref>
        </x14:dataValidation>
        <x14:dataValidation type="list" allowBlank="1" showInputMessage="1" showErrorMessage="1" xr:uid="{4DCA83E6-39F7-4612-8639-A7A3E60CDB0E}">
          <x14:formula1>
            <xm:f>Resultados!$B$33:$B$34</xm:f>
          </x14:formula1>
          <xm:sqref>N3</xm:sqref>
        </x14:dataValidation>
        <x14:dataValidation type="list" allowBlank="1" showInputMessage="1" showErrorMessage="1" xr:uid="{6EC783E0-8109-47D9-B482-5418F67F6755}">
          <x14:formula1>
            <xm:f>Resultados!$C$31:$C$32</xm:f>
          </x14:formula1>
          <xm:sqref>M90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0157-E28F-47A5-9D71-4887C1EC12BD}">
  <sheetPr codeName="Sheet5"/>
  <dimension ref="A1:A128"/>
  <sheetViews>
    <sheetView workbookViewId="0">
      <selection activeCell="A17" sqref="A17"/>
    </sheetView>
  </sheetViews>
  <sheetFormatPr defaultRowHeight="14.5" x14ac:dyDescent="0.35"/>
  <sheetData>
    <row r="1" spans="1:1" x14ac:dyDescent="0.35">
      <c r="A1">
        <v>1</v>
      </c>
    </row>
    <row r="2" spans="1:1" x14ac:dyDescent="0.35">
      <c r="A2">
        <v>2</v>
      </c>
    </row>
    <row r="3" spans="1:1" x14ac:dyDescent="0.35">
      <c r="A3">
        <v>3</v>
      </c>
    </row>
    <row r="4" spans="1:1" x14ac:dyDescent="0.35">
      <c r="A4">
        <v>4</v>
      </c>
    </row>
    <row r="5" spans="1:1" x14ac:dyDescent="0.35">
      <c r="A5">
        <v>5</v>
      </c>
    </row>
    <row r="6" spans="1:1" x14ac:dyDescent="0.35">
      <c r="A6">
        <v>6</v>
      </c>
    </row>
    <row r="7" spans="1:1" x14ac:dyDescent="0.35">
      <c r="A7">
        <v>7</v>
      </c>
    </row>
    <row r="8" spans="1:1" x14ac:dyDescent="0.35">
      <c r="A8">
        <v>8</v>
      </c>
    </row>
    <row r="9" spans="1:1" x14ac:dyDescent="0.35">
      <c r="A9">
        <v>9</v>
      </c>
    </row>
    <row r="10" spans="1:1" x14ac:dyDescent="0.35">
      <c r="A10">
        <v>10</v>
      </c>
    </row>
    <row r="11" spans="1:1" x14ac:dyDescent="0.35">
      <c r="A11">
        <v>11</v>
      </c>
    </row>
    <row r="12" spans="1:1" x14ac:dyDescent="0.35">
      <c r="A12">
        <v>12</v>
      </c>
    </row>
    <row r="13" spans="1:1" x14ac:dyDescent="0.35">
      <c r="A13">
        <v>13</v>
      </c>
    </row>
    <row r="14" spans="1:1" x14ac:dyDescent="0.35">
      <c r="A14">
        <v>14</v>
      </c>
    </row>
    <row r="15" spans="1:1" x14ac:dyDescent="0.35">
      <c r="A15">
        <v>15</v>
      </c>
    </row>
    <row r="16" spans="1:1" x14ac:dyDescent="0.35">
      <c r="A16">
        <v>16</v>
      </c>
    </row>
    <row r="17" spans="1:1" x14ac:dyDescent="0.35">
      <c r="A17">
        <v>17</v>
      </c>
    </row>
    <row r="18" spans="1:1" x14ac:dyDescent="0.35">
      <c r="A18">
        <v>18</v>
      </c>
    </row>
    <row r="19" spans="1:1" x14ac:dyDescent="0.35">
      <c r="A19">
        <v>19</v>
      </c>
    </row>
    <row r="20" spans="1:1" x14ac:dyDescent="0.35">
      <c r="A20">
        <v>20</v>
      </c>
    </row>
    <row r="21" spans="1:1" x14ac:dyDescent="0.35">
      <c r="A21">
        <v>21</v>
      </c>
    </row>
    <row r="22" spans="1:1" x14ac:dyDescent="0.35">
      <c r="A22">
        <v>22</v>
      </c>
    </row>
    <row r="23" spans="1:1" x14ac:dyDescent="0.35">
      <c r="A23">
        <v>23</v>
      </c>
    </row>
    <row r="24" spans="1:1" x14ac:dyDescent="0.35">
      <c r="A24">
        <v>24</v>
      </c>
    </row>
    <row r="25" spans="1:1" x14ac:dyDescent="0.35">
      <c r="A25">
        <v>25</v>
      </c>
    </row>
    <row r="26" spans="1:1" x14ac:dyDescent="0.35">
      <c r="A26">
        <v>26</v>
      </c>
    </row>
    <row r="27" spans="1:1" x14ac:dyDescent="0.35">
      <c r="A27">
        <v>27</v>
      </c>
    </row>
    <row r="28" spans="1:1" x14ac:dyDescent="0.35">
      <c r="A28">
        <v>28</v>
      </c>
    </row>
    <row r="29" spans="1:1" x14ac:dyDescent="0.35">
      <c r="A29">
        <v>29</v>
      </c>
    </row>
    <row r="30" spans="1:1" x14ac:dyDescent="0.35">
      <c r="A30">
        <v>30</v>
      </c>
    </row>
    <row r="31" spans="1:1" x14ac:dyDescent="0.35">
      <c r="A31">
        <v>31</v>
      </c>
    </row>
    <row r="32" spans="1:1" x14ac:dyDescent="0.35">
      <c r="A32">
        <v>32</v>
      </c>
    </row>
    <row r="33" spans="1:1" x14ac:dyDescent="0.35">
      <c r="A33">
        <v>33</v>
      </c>
    </row>
    <row r="34" spans="1:1" x14ac:dyDescent="0.35">
      <c r="A34">
        <v>34</v>
      </c>
    </row>
    <row r="35" spans="1:1" x14ac:dyDescent="0.35">
      <c r="A35">
        <v>35</v>
      </c>
    </row>
    <row r="36" spans="1:1" x14ac:dyDescent="0.35">
      <c r="A36">
        <v>36</v>
      </c>
    </row>
    <row r="37" spans="1:1" x14ac:dyDescent="0.35">
      <c r="A37">
        <v>37</v>
      </c>
    </row>
    <row r="38" spans="1:1" x14ac:dyDescent="0.35">
      <c r="A38">
        <v>38</v>
      </c>
    </row>
    <row r="39" spans="1:1" x14ac:dyDescent="0.35">
      <c r="A39">
        <v>39</v>
      </c>
    </row>
    <row r="40" spans="1:1" x14ac:dyDescent="0.35">
      <c r="A40">
        <v>40</v>
      </c>
    </row>
    <row r="41" spans="1:1" x14ac:dyDescent="0.35">
      <c r="A41">
        <v>41</v>
      </c>
    </row>
    <row r="42" spans="1:1" x14ac:dyDescent="0.35">
      <c r="A42">
        <v>42</v>
      </c>
    </row>
    <row r="43" spans="1:1" x14ac:dyDescent="0.35">
      <c r="A43">
        <v>43</v>
      </c>
    </row>
    <row r="44" spans="1:1" x14ac:dyDescent="0.35">
      <c r="A44">
        <v>44</v>
      </c>
    </row>
    <row r="45" spans="1:1" x14ac:dyDescent="0.35">
      <c r="A45">
        <v>45</v>
      </c>
    </row>
    <row r="46" spans="1:1" x14ac:dyDescent="0.35">
      <c r="A46">
        <v>46</v>
      </c>
    </row>
    <row r="47" spans="1:1" x14ac:dyDescent="0.35">
      <c r="A47">
        <v>47</v>
      </c>
    </row>
    <row r="48" spans="1:1" x14ac:dyDescent="0.35">
      <c r="A48">
        <v>48</v>
      </c>
    </row>
    <row r="49" spans="1:1" x14ac:dyDescent="0.35">
      <c r="A49">
        <v>49</v>
      </c>
    </row>
    <row r="50" spans="1:1" x14ac:dyDescent="0.35">
      <c r="A50">
        <v>50</v>
      </c>
    </row>
    <row r="51" spans="1:1" x14ac:dyDescent="0.35">
      <c r="A51">
        <v>51</v>
      </c>
    </row>
    <row r="52" spans="1:1" x14ac:dyDescent="0.35">
      <c r="A52">
        <v>52</v>
      </c>
    </row>
    <row r="53" spans="1:1" x14ac:dyDescent="0.35">
      <c r="A53">
        <v>53</v>
      </c>
    </row>
    <row r="54" spans="1:1" x14ac:dyDescent="0.35">
      <c r="A54">
        <v>54</v>
      </c>
    </row>
    <row r="55" spans="1:1" x14ac:dyDescent="0.35">
      <c r="A55">
        <v>55</v>
      </c>
    </row>
    <row r="56" spans="1:1" x14ac:dyDescent="0.35">
      <c r="A56">
        <v>56</v>
      </c>
    </row>
    <row r="57" spans="1:1" x14ac:dyDescent="0.35">
      <c r="A57">
        <v>57</v>
      </c>
    </row>
    <row r="58" spans="1:1" x14ac:dyDescent="0.35">
      <c r="A58">
        <v>58</v>
      </c>
    </row>
    <row r="59" spans="1:1" x14ac:dyDescent="0.35">
      <c r="A59">
        <v>59</v>
      </c>
    </row>
    <row r="60" spans="1:1" x14ac:dyDescent="0.35">
      <c r="A60">
        <v>60</v>
      </c>
    </row>
    <row r="61" spans="1:1" x14ac:dyDescent="0.35">
      <c r="A61">
        <v>61</v>
      </c>
    </row>
    <row r="62" spans="1:1" x14ac:dyDescent="0.35">
      <c r="A62">
        <v>62</v>
      </c>
    </row>
    <row r="63" spans="1:1" x14ac:dyDescent="0.35">
      <c r="A63">
        <v>63</v>
      </c>
    </row>
    <row r="64" spans="1:1" x14ac:dyDescent="0.35">
      <c r="A64">
        <v>64</v>
      </c>
    </row>
    <row r="65" spans="1:1" x14ac:dyDescent="0.35">
      <c r="A65">
        <v>65</v>
      </c>
    </row>
    <row r="66" spans="1:1" x14ac:dyDescent="0.35">
      <c r="A66">
        <v>66</v>
      </c>
    </row>
    <row r="67" spans="1:1" x14ac:dyDescent="0.35">
      <c r="A67">
        <v>67</v>
      </c>
    </row>
    <row r="68" spans="1:1" x14ac:dyDescent="0.35">
      <c r="A68">
        <v>68</v>
      </c>
    </row>
    <row r="69" spans="1:1" x14ac:dyDescent="0.35">
      <c r="A69">
        <v>69</v>
      </c>
    </row>
    <row r="70" spans="1:1" x14ac:dyDescent="0.35">
      <c r="A70">
        <v>70</v>
      </c>
    </row>
    <row r="71" spans="1:1" x14ac:dyDescent="0.35">
      <c r="A71">
        <v>71</v>
      </c>
    </row>
    <row r="72" spans="1:1" x14ac:dyDescent="0.35">
      <c r="A72">
        <v>72</v>
      </c>
    </row>
    <row r="73" spans="1:1" x14ac:dyDescent="0.35">
      <c r="A73">
        <v>73</v>
      </c>
    </row>
    <row r="74" spans="1:1" x14ac:dyDescent="0.35">
      <c r="A74">
        <v>74</v>
      </c>
    </row>
    <row r="75" spans="1:1" x14ac:dyDescent="0.35">
      <c r="A75">
        <v>75</v>
      </c>
    </row>
    <row r="76" spans="1:1" x14ac:dyDescent="0.35">
      <c r="A76">
        <v>76</v>
      </c>
    </row>
    <row r="77" spans="1:1" x14ac:dyDescent="0.35">
      <c r="A77">
        <v>77</v>
      </c>
    </row>
    <row r="78" spans="1:1" x14ac:dyDescent="0.35">
      <c r="A78">
        <v>78</v>
      </c>
    </row>
    <row r="79" spans="1:1" x14ac:dyDescent="0.35">
      <c r="A79">
        <v>79</v>
      </c>
    </row>
    <row r="80" spans="1:1" x14ac:dyDescent="0.35">
      <c r="A80">
        <v>80</v>
      </c>
    </row>
    <row r="81" spans="1:1" x14ac:dyDescent="0.35">
      <c r="A81">
        <v>81</v>
      </c>
    </row>
    <row r="82" spans="1:1" x14ac:dyDescent="0.35">
      <c r="A82">
        <v>82</v>
      </c>
    </row>
    <row r="83" spans="1:1" x14ac:dyDescent="0.35">
      <c r="A83">
        <v>83</v>
      </c>
    </row>
    <row r="84" spans="1:1" x14ac:dyDescent="0.35">
      <c r="A84">
        <v>84</v>
      </c>
    </row>
    <row r="85" spans="1:1" x14ac:dyDescent="0.35">
      <c r="A85">
        <v>85</v>
      </c>
    </row>
    <row r="86" spans="1:1" x14ac:dyDescent="0.35">
      <c r="A86">
        <v>86</v>
      </c>
    </row>
    <row r="87" spans="1:1" x14ac:dyDescent="0.35">
      <c r="A87">
        <v>87</v>
      </c>
    </row>
    <row r="88" spans="1:1" x14ac:dyDescent="0.35">
      <c r="A88">
        <v>88</v>
      </c>
    </row>
    <row r="89" spans="1:1" x14ac:dyDescent="0.35">
      <c r="A89">
        <v>89</v>
      </c>
    </row>
    <row r="90" spans="1:1" x14ac:dyDescent="0.35">
      <c r="A90">
        <v>90</v>
      </c>
    </row>
    <row r="91" spans="1:1" x14ac:dyDescent="0.35">
      <c r="A91">
        <v>91</v>
      </c>
    </row>
    <row r="92" spans="1:1" x14ac:dyDescent="0.35">
      <c r="A92">
        <v>92</v>
      </c>
    </row>
    <row r="93" spans="1:1" x14ac:dyDescent="0.35">
      <c r="A93">
        <v>93</v>
      </c>
    </row>
    <row r="94" spans="1:1" x14ac:dyDescent="0.35">
      <c r="A94">
        <v>94</v>
      </c>
    </row>
    <row r="95" spans="1:1" x14ac:dyDescent="0.35">
      <c r="A95">
        <v>95</v>
      </c>
    </row>
    <row r="96" spans="1:1" x14ac:dyDescent="0.35">
      <c r="A96">
        <v>96</v>
      </c>
    </row>
    <row r="97" spans="1:1" x14ac:dyDescent="0.35">
      <c r="A97">
        <v>97</v>
      </c>
    </row>
    <row r="98" spans="1:1" x14ac:dyDescent="0.35">
      <c r="A98">
        <v>98</v>
      </c>
    </row>
    <row r="99" spans="1:1" x14ac:dyDescent="0.35">
      <c r="A99">
        <v>99</v>
      </c>
    </row>
    <row r="100" spans="1:1" x14ac:dyDescent="0.35">
      <c r="A100">
        <v>100</v>
      </c>
    </row>
    <row r="101" spans="1:1" x14ac:dyDescent="0.35">
      <c r="A101">
        <v>101</v>
      </c>
    </row>
    <row r="102" spans="1:1" x14ac:dyDescent="0.35">
      <c r="A102">
        <v>102</v>
      </c>
    </row>
    <row r="103" spans="1:1" x14ac:dyDescent="0.35">
      <c r="A103">
        <v>103</v>
      </c>
    </row>
    <row r="104" spans="1:1" x14ac:dyDescent="0.35">
      <c r="A104">
        <v>104</v>
      </c>
    </row>
    <row r="105" spans="1:1" x14ac:dyDescent="0.35">
      <c r="A105">
        <v>105</v>
      </c>
    </row>
    <row r="106" spans="1:1" x14ac:dyDescent="0.35">
      <c r="A106">
        <v>106</v>
      </c>
    </row>
    <row r="107" spans="1:1" x14ac:dyDescent="0.35">
      <c r="A107">
        <v>107</v>
      </c>
    </row>
    <row r="108" spans="1:1" x14ac:dyDescent="0.35">
      <c r="A108">
        <v>108</v>
      </c>
    </row>
    <row r="109" spans="1:1" x14ac:dyDescent="0.35">
      <c r="A109">
        <v>109</v>
      </c>
    </row>
    <row r="110" spans="1:1" x14ac:dyDescent="0.35">
      <c r="A110">
        <v>110</v>
      </c>
    </row>
    <row r="111" spans="1:1" x14ac:dyDescent="0.35">
      <c r="A111">
        <v>111</v>
      </c>
    </row>
    <row r="112" spans="1:1" x14ac:dyDescent="0.35">
      <c r="A112">
        <v>112</v>
      </c>
    </row>
    <row r="113" spans="1:1" x14ac:dyDescent="0.35">
      <c r="A113">
        <v>113</v>
      </c>
    </row>
    <row r="114" spans="1:1" x14ac:dyDescent="0.35">
      <c r="A114">
        <v>114</v>
      </c>
    </row>
    <row r="115" spans="1:1" x14ac:dyDescent="0.35">
      <c r="A115">
        <v>115</v>
      </c>
    </row>
    <row r="116" spans="1:1" x14ac:dyDescent="0.35">
      <c r="A116">
        <v>116</v>
      </c>
    </row>
    <row r="117" spans="1:1" x14ac:dyDescent="0.35">
      <c r="A117">
        <v>117</v>
      </c>
    </row>
    <row r="118" spans="1:1" x14ac:dyDescent="0.35">
      <c r="A118">
        <v>118</v>
      </c>
    </row>
    <row r="119" spans="1:1" x14ac:dyDescent="0.35">
      <c r="A119">
        <v>119</v>
      </c>
    </row>
    <row r="120" spans="1:1" x14ac:dyDescent="0.35">
      <c r="A120">
        <v>120</v>
      </c>
    </row>
    <row r="121" spans="1:1" x14ac:dyDescent="0.35">
      <c r="A121">
        <v>121</v>
      </c>
    </row>
    <row r="122" spans="1:1" x14ac:dyDescent="0.35">
      <c r="A122">
        <v>122</v>
      </c>
    </row>
    <row r="123" spans="1:1" x14ac:dyDescent="0.35">
      <c r="A123">
        <v>123</v>
      </c>
    </row>
    <row r="124" spans="1:1" x14ac:dyDescent="0.35">
      <c r="A124">
        <v>124</v>
      </c>
    </row>
    <row r="125" spans="1:1" x14ac:dyDescent="0.35">
      <c r="A125">
        <v>125</v>
      </c>
    </row>
    <row r="126" spans="1:1" x14ac:dyDescent="0.35">
      <c r="A126">
        <v>126</v>
      </c>
    </row>
    <row r="127" spans="1:1" x14ac:dyDescent="0.35">
      <c r="A127">
        <v>127</v>
      </c>
    </row>
    <row r="128" spans="1:1" x14ac:dyDescent="0.35">
      <c r="A128">
        <v>128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A3759-6862-49FB-9176-27C50D2ECEA3}">
  <sheetPr codeName="Sheet9"/>
  <dimension ref="C1:DY1"/>
  <sheetViews>
    <sheetView workbookViewId="0"/>
  </sheetViews>
  <sheetFormatPr defaultRowHeight="14.5" x14ac:dyDescent="0.35"/>
  <sheetData>
    <row r="1" spans="3:129" x14ac:dyDescent="0.35">
      <c r="C1">
        <f>Resultados!B1</f>
        <v>0</v>
      </c>
      <c r="D1">
        <f>Resultados!B2</f>
        <v>0</v>
      </c>
      <c r="E1">
        <f>Resultados!B3</f>
        <v>0</v>
      </c>
      <c r="F1">
        <f>Resultados!B4</f>
        <v>0</v>
      </c>
      <c r="G1">
        <f>Resultados!B5</f>
        <v>0</v>
      </c>
      <c r="H1">
        <f>Resultados!B6</f>
        <v>0</v>
      </c>
      <c r="I1">
        <f>Resultados!B7</f>
        <v>0</v>
      </c>
      <c r="J1">
        <f>Resultados!B8</f>
        <v>0</v>
      </c>
      <c r="K1">
        <f>Resultados!B9</f>
        <v>0</v>
      </c>
      <c r="L1">
        <f>Resultados!B10</f>
        <v>0</v>
      </c>
      <c r="M1">
        <f>Resultados!B11</f>
        <v>0</v>
      </c>
      <c r="N1">
        <f>Resultados!B12</f>
        <v>0</v>
      </c>
      <c r="O1">
        <f>Resultados!B13</f>
        <v>0</v>
      </c>
      <c r="P1">
        <f>Resultados!B14</f>
        <v>0</v>
      </c>
      <c r="Q1">
        <f>Resultados!B15</f>
        <v>0</v>
      </c>
      <c r="R1">
        <f>Resultados!B16</f>
        <v>0</v>
      </c>
      <c r="S1">
        <f>Resultados!B17</f>
        <v>0</v>
      </c>
      <c r="T1">
        <f>Resultados!B18</f>
        <v>0</v>
      </c>
      <c r="U1">
        <f>Resultados!B19</f>
        <v>0</v>
      </c>
      <c r="V1">
        <f>Resultados!B20</f>
        <v>0</v>
      </c>
      <c r="W1">
        <f>Resultados!B21</f>
        <v>0</v>
      </c>
      <c r="X1">
        <f>Resultados!B22</f>
        <v>0</v>
      </c>
      <c r="Y1">
        <f>Resultados!B23</f>
        <v>0</v>
      </c>
      <c r="Z1">
        <f>Resultados!B24</f>
        <v>0</v>
      </c>
      <c r="AA1">
        <f>Resultados!B25</f>
        <v>0</v>
      </c>
      <c r="AB1">
        <f>Resultados!B26</f>
        <v>0</v>
      </c>
      <c r="AC1">
        <f>Resultados!B27</f>
        <v>0</v>
      </c>
      <c r="AD1">
        <f>Resultados!B28</f>
        <v>0</v>
      </c>
      <c r="AE1">
        <f>Resultados!B29</f>
        <v>0</v>
      </c>
      <c r="AF1">
        <f>Resultados!B30</f>
        <v>0</v>
      </c>
      <c r="AG1">
        <f>Resultados!B31</f>
        <v>0</v>
      </c>
      <c r="AH1">
        <f>Resultados!B32</f>
        <v>0</v>
      </c>
      <c r="AI1">
        <f>Resultados!B33</f>
        <v>0</v>
      </c>
      <c r="AJ1">
        <f>Resultados!B34</f>
        <v>0</v>
      </c>
      <c r="AK1">
        <f>Resultados!B35</f>
        <v>0</v>
      </c>
      <c r="AL1">
        <f>Resultados!B36</f>
        <v>0</v>
      </c>
      <c r="AM1">
        <f>Resultados!B37</f>
        <v>0</v>
      </c>
      <c r="AN1">
        <f>Resultados!B38</f>
        <v>0</v>
      </c>
      <c r="AO1">
        <f>Resultados!B39</f>
        <v>0</v>
      </c>
      <c r="AP1">
        <f>Resultados!B40</f>
        <v>0</v>
      </c>
      <c r="AQ1">
        <f>Resultados!B41</f>
        <v>0</v>
      </c>
      <c r="AR1">
        <f>Resultados!B42</f>
        <v>0</v>
      </c>
      <c r="AS1">
        <f>Resultados!B43</f>
        <v>0</v>
      </c>
      <c r="AT1">
        <f>Resultados!B44</f>
        <v>0</v>
      </c>
      <c r="AU1">
        <f>Resultados!B45</f>
        <v>0</v>
      </c>
      <c r="AV1">
        <f>Resultados!B46</f>
        <v>0</v>
      </c>
      <c r="AW1">
        <f>Resultados!B47</f>
        <v>0</v>
      </c>
      <c r="AX1">
        <f>Resultados!B48</f>
        <v>0</v>
      </c>
      <c r="AY1">
        <f>Resultados!B49</f>
        <v>0</v>
      </c>
      <c r="AZ1">
        <f>Resultados!B50</f>
        <v>0</v>
      </c>
      <c r="BA1">
        <f>Resultados!B51</f>
        <v>0</v>
      </c>
      <c r="BB1">
        <f>Resultados!B52</f>
        <v>0</v>
      </c>
      <c r="BC1">
        <f>Resultados!B53</f>
        <v>0</v>
      </c>
      <c r="BD1">
        <f>Resultados!B54</f>
        <v>0</v>
      </c>
      <c r="BE1">
        <f>Resultados!B55</f>
        <v>0</v>
      </c>
      <c r="BF1">
        <f>Resultados!B56</f>
        <v>0</v>
      </c>
      <c r="BG1">
        <f>Resultados!B57</f>
        <v>0</v>
      </c>
      <c r="BH1">
        <f>Resultados!B58</f>
        <v>0</v>
      </c>
      <c r="BI1">
        <f>Resultados!B59</f>
        <v>0</v>
      </c>
      <c r="BJ1">
        <f>Resultados!B60</f>
        <v>0</v>
      </c>
      <c r="BK1">
        <f>Resultados!B61</f>
        <v>0</v>
      </c>
      <c r="BL1">
        <f>Resultados!B62</f>
        <v>0</v>
      </c>
      <c r="BM1">
        <f>Resultados!B63</f>
        <v>0</v>
      </c>
      <c r="BN1">
        <f>Resultados!B64</f>
        <v>0</v>
      </c>
      <c r="BO1">
        <f>Resultados!C1</f>
        <v>0</v>
      </c>
      <c r="BP1">
        <f>Resultados!C2</f>
        <v>0</v>
      </c>
      <c r="BQ1">
        <f>Resultados!C3</f>
        <v>0</v>
      </c>
      <c r="BR1">
        <f>Resultados!C4</f>
        <v>0</v>
      </c>
      <c r="BS1">
        <f>Resultados!C5</f>
        <v>0</v>
      </c>
      <c r="BT1">
        <f>Resultados!C6</f>
        <v>0</v>
      </c>
      <c r="BU1">
        <f>Resultados!C7</f>
        <v>0</v>
      </c>
      <c r="BV1">
        <f>Resultados!C8</f>
        <v>0</v>
      </c>
      <c r="BW1">
        <f>Resultados!C9</f>
        <v>0</v>
      </c>
      <c r="BX1">
        <f>Resultados!C10</f>
        <v>0</v>
      </c>
      <c r="BY1">
        <f>Resultados!C11</f>
        <v>0</v>
      </c>
      <c r="BZ1">
        <f>Resultados!C12</f>
        <v>0</v>
      </c>
      <c r="CA1">
        <f>Resultados!C13</f>
        <v>0</v>
      </c>
      <c r="CB1">
        <f>Resultados!C14</f>
        <v>0</v>
      </c>
      <c r="CC1">
        <f>Resultados!C15</f>
        <v>0</v>
      </c>
      <c r="CD1">
        <f>Resultados!C16</f>
        <v>0</v>
      </c>
      <c r="CE1">
        <f>Resultados!C17</f>
        <v>0</v>
      </c>
      <c r="CF1">
        <f>Resultados!C18</f>
        <v>0</v>
      </c>
      <c r="CG1">
        <f>Resultados!C19</f>
        <v>0</v>
      </c>
      <c r="CH1">
        <f>Resultados!C20</f>
        <v>0</v>
      </c>
      <c r="CI1">
        <f>Resultados!C21</f>
        <v>0</v>
      </c>
      <c r="CJ1">
        <f>Resultados!C22</f>
        <v>0</v>
      </c>
      <c r="CK1">
        <f>Resultados!C23</f>
        <v>0</v>
      </c>
      <c r="CL1">
        <f>Resultados!C24</f>
        <v>0</v>
      </c>
      <c r="CM1">
        <f>Resultados!C25</f>
        <v>0</v>
      </c>
      <c r="CN1">
        <f>Resultados!C26</f>
        <v>0</v>
      </c>
      <c r="CO1">
        <f>Resultados!C27</f>
        <v>0</v>
      </c>
      <c r="CP1">
        <f>Resultados!C28</f>
        <v>0</v>
      </c>
      <c r="CQ1">
        <f>Resultados!C29</f>
        <v>0</v>
      </c>
      <c r="CR1">
        <f>Resultados!C30</f>
        <v>0</v>
      </c>
      <c r="CS1">
        <f>Resultados!C31</f>
        <v>0</v>
      </c>
      <c r="CT1">
        <f>Resultados!C32</f>
        <v>0</v>
      </c>
      <c r="CU1">
        <f>Resultados!D1</f>
        <v>0</v>
      </c>
      <c r="CV1">
        <f>Resultados!D2</f>
        <v>0</v>
      </c>
      <c r="CW1">
        <f>Resultados!D3</f>
        <v>0</v>
      </c>
      <c r="CX1">
        <f>Resultados!D4</f>
        <v>0</v>
      </c>
      <c r="CY1">
        <f>Resultados!D5</f>
        <v>0</v>
      </c>
      <c r="CZ1">
        <f>Resultados!D6</f>
        <v>0</v>
      </c>
      <c r="DA1">
        <f>Resultados!D7</f>
        <v>0</v>
      </c>
      <c r="DB1">
        <f>Resultados!D8</f>
        <v>0</v>
      </c>
      <c r="DC1">
        <f>Resultados!D9</f>
        <v>0</v>
      </c>
      <c r="DD1">
        <f>Resultados!D10</f>
        <v>0</v>
      </c>
      <c r="DE1">
        <f>Resultados!D11</f>
        <v>0</v>
      </c>
      <c r="DF1">
        <f>Resultados!D12</f>
        <v>0</v>
      </c>
      <c r="DG1">
        <f>Resultados!D13</f>
        <v>0</v>
      </c>
      <c r="DH1">
        <f>Resultados!D14</f>
        <v>0</v>
      </c>
      <c r="DI1">
        <f>Resultados!D15</f>
        <v>0</v>
      </c>
      <c r="DJ1">
        <f>Resultados!D16</f>
        <v>0</v>
      </c>
      <c r="DK1">
        <f>Resultados!E1</f>
        <v>0</v>
      </c>
      <c r="DL1">
        <f>Resultados!E2</f>
        <v>0</v>
      </c>
      <c r="DM1">
        <f>Resultados!E3</f>
        <v>0</v>
      </c>
      <c r="DN1">
        <f>Resultados!E4</f>
        <v>0</v>
      </c>
      <c r="DO1">
        <f>Resultados!E5</f>
        <v>0</v>
      </c>
      <c r="DP1">
        <f>Resultados!E6</f>
        <v>0</v>
      </c>
      <c r="DQ1">
        <f>Resultados!E7</f>
        <v>0</v>
      </c>
      <c r="DR1">
        <f>Resultados!E8</f>
        <v>0</v>
      </c>
      <c r="DS1">
        <f>Resultados!F1</f>
        <v>0</v>
      </c>
      <c r="DT1">
        <f>Resultados!F2</f>
        <v>0</v>
      </c>
      <c r="DU1">
        <f>Resultados!F3</f>
        <v>0</v>
      </c>
      <c r="DV1">
        <f>Resultados!F4</f>
        <v>0</v>
      </c>
      <c r="DW1">
        <f>Resultados!G1</f>
        <v>0</v>
      </c>
      <c r="DX1">
        <f>Resultados!G2</f>
        <v>0</v>
      </c>
      <c r="DY1">
        <f>Resultados!H1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5F72A-3372-41B3-B35F-A6BDAC8501A8}">
  <sheetPr codeName="Sheet3"/>
  <dimension ref="A1:DY3"/>
  <sheetViews>
    <sheetView tabSelected="1" workbookViewId="0">
      <selection activeCell="F13" sqref="F13"/>
    </sheetView>
  </sheetViews>
  <sheetFormatPr defaultRowHeight="14.5" x14ac:dyDescent="0.35"/>
  <sheetData>
    <row r="1" spans="1:129" x14ac:dyDescent="0.35">
      <c r="A1" t="s">
        <v>2</v>
      </c>
      <c r="B1" t="s">
        <v>0</v>
      </c>
      <c r="C1" t="s">
        <v>1</v>
      </c>
    </row>
    <row r="2" spans="1:129" x14ac:dyDescent="0.35">
      <c r="A2">
        <v>1</v>
      </c>
      <c r="B2" t="s">
        <v>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</row>
    <row r="3" spans="1:129" x14ac:dyDescent="0.35">
      <c r="A3">
        <v>2</v>
      </c>
      <c r="B3" t="s">
        <v>13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05BB2-89D3-44F5-9770-275F56E7233F}">
  <sheetPr codeName="Sheet8"/>
  <dimension ref="A1:DZ3"/>
  <sheetViews>
    <sheetView workbookViewId="0">
      <selection activeCell="D2" sqref="D2"/>
    </sheetView>
  </sheetViews>
  <sheetFormatPr defaultRowHeight="14.5" x14ac:dyDescent="0.35"/>
  <sheetData>
    <row r="1" spans="1:130" x14ac:dyDescent="0.35">
      <c r="A1" t="s">
        <v>2</v>
      </c>
      <c r="B1" t="s">
        <v>0</v>
      </c>
      <c r="C1" t="s">
        <v>8</v>
      </c>
      <c r="DZ1" t="s">
        <v>9</v>
      </c>
    </row>
    <row r="2" spans="1:130" x14ac:dyDescent="0.35">
      <c r="A2">
        <f>ListaCuadros!A2</f>
        <v>1</v>
      </c>
      <c r="B2" t="str">
        <f>ListaCuadros!B2</f>
        <v>user1</v>
      </c>
      <c r="C2">
        <f>IF(AND(ListaCuadros!C2 = ResultadosDatos!C$1, ListaCuadros!C2 &lt;&gt; 0),Configuraciones!$A$2,0)</f>
        <v>0</v>
      </c>
      <c r="D2">
        <f>IF(AND(ListaCuadros!D2 = ResultadosDatos!D$1, ListaCuadros!D2 &lt;&gt; 0),Configuraciones!$A$2,0)</f>
        <v>0</v>
      </c>
      <c r="E2">
        <f>IF(AND(ListaCuadros!E2 = ResultadosDatos!E$1, ListaCuadros!E2 &lt;&gt; 0),Configuraciones!$A$2,0)</f>
        <v>0</v>
      </c>
      <c r="F2">
        <f>IF(AND(ListaCuadros!F2 = ResultadosDatos!F$1, ListaCuadros!F2 &lt;&gt; 0),Configuraciones!$A$2,0)</f>
        <v>0</v>
      </c>
      <c r="G2">
        <f>IF(AND(ListaCuadros!G2 = ResultadosDatos!G$1, ListaCuadros!G2 &lt;&gt; 0),Configuraciones!$A$2,0)</f>
        <v>0</v>
      </c>
      <c r="H2">
        <f>IF(AND(ListaCuadros!H2 = ResultadosDatos!H$1, ListaCuadros!H2 &lt;&gt; 0),Configuraciones!$A$2,0)</f>
        <v>0</v>
      </c>
      <c r="I2">
        <f>IF(AND(ListaCuadros!I2 = ResultadosDatos!I$1, ListaCuadros!I2 &lt;&gt; 0),Configuraciones!$A$2,0)</f>
        <v>0</v>
      </c>
      <c r="J2">
        <f>IF(AND(ListaCuadros!J2 = ResultadosDatos!J$1, ListaCuadros!J2 &lt;&gt; 0),Configuraciones!$A$2,0)</f>
        <v>0</v>
      </c>
      <c r="K2">
        <f>IF(AND(ListaCuadros!K2 = ResultadosDatos!K$1, ListaCuadros!K2 &lt;&gt; 0),Configuraciones!$A$2,0)</f>
        <v>0</v>
      </c>
      <c r="L2">
        <f>IF(AND(ListaCuadros!L2 = ResultadosDatos!L$1, ListaCuadros!L2 &lt;&gt; 0),Configuraciones!$A$2,0)</f>
        <v>0</v>
      </c>
      <c r="M2">
        <f>IF(AND(ListaCuadros!M2 = ResultadosDatos!M$1, ListaCuadros!M2 &lt;&gt; 0),Configuraciones!$A$2,0)</f>
        <v>0</v>
      </c>
      <c r="N2">
        <f>IF(AND(ListaCuadros!N2 = ResultadosDatos!N$1, ListaCuadros!N2 &lt;&gt; 0),Configuraciones!$A$2,0)</f>
        <v>0</v>
      </c>
      <c r="O2">
        <f>IF(AND(ListaCuadros!O2 = ResultadosDatos!O$1, ListaCuadros!O2 &lt;&gt; 0),Configuraciones!$A$2,0)</f>
        <v>0</v>
      </c>
      <c r="P2">
        <f>IF(AND(ListaCuadros!P2 = ResultadosDatos!P$1, ListaCuadros!P2 &lt;&gt; 0),Configuraciones!$A$2,0)</f>
        <v>0</v>
      </c>
      <c r="Q2">
        <f>IF(AND(ListaCuadros!Q2 = ResultadosDatos!Q$1, ListaCuadros!Q2 &lt;&gt; 0),Configuraciones!$A$2,0)</f>
        <v>0</v>
      </c>
      <c r="R2">
        <f>IF(AND(ListaCuadros!R2 = ResultadosDatos!R$1, ListaCuadros!R2 &lt;&gt; 0),Configuraciones!$A$2,0)</f>
        <v>0</v>
      </c>
      <c r="S2">
        <f>IF(AND(ListaCuadros!S2 = ResultadosDatos!S$1, ListaCuadros!S2 &lt;&gt; 0),Configuraciones!$A$2,0)</f>
        <v>0</v>
      </c>
      <c r="T2">
        <f>IF(AND(ListaCuadros!T2 = ResultadosDatos!T$1, ListaCuadros!T2 &lt;&gt; 0),Configuraciones!$A$2,0)</f>
        <v>0</v>
      </c>
      <c r="U2">
        <f>IF(AND(ListaCuadros!U2 = ResultadosDatos!U$1, ListaCuadros!U2 &lt;&gt; 0),Configuraciones!$A$2,0)</f>
        <v>0</v>
      </c>
      <c r="V2">
        <f>IF(AND(ListaCuadros!V2 = ResultadosDatos!V$1, ListaCuadros!V2 &lt;&gt; 0),Configuraciones!$A$2,0)</f>
        <v>0</v>
      </c>
      <c r="W2">
        <f>IF(AND(ListaCuadros!W2 = ResultadosDatos!W$1, ListaCuadros!W2 &lt;&gt; 0),Configuraciones!$A$2,0)</f>
        <v>0</v>
      </c>
      <c r="X2">
        <f>IF(AND(ListaCuadros!X2 = ResultadosDatos!X$1, ListaCuadros!X2 &lt;&gt; 0),Configuraciones!$A$2,0)</f>
        <v>0</v>
      </c>
      <c r="Y2">
        <f>IF(AND(ListaCuadros!Y2 = ResultadosDatos!Y$1, ListaCuadros!Y2 &lt;&gt; 0),Configuraciones!$A$2,0)</f>
        <v>0</v>
      </c>
      <c r="Z2">
        <f>IF(AND(ListaCuadros!Z2 = ResultadosDatos!Z$1, ListaCuadros!Z2 &lt;&gt; 0),Configuraciones!$A$2,0)</f>
        <v>0</v>
      </c>
      <c r="AA2">
        <f>IF(AND(ListaCuadros!AA2 = ResultadosDatos!AA$1, ListaCuadros!AA2 &lt;&gt; 0),Configuraciones!$A$2,0)</f>
        <v>0</v>
      </c>
      <c r="AB2">
        <f>IF(AND(ListaCuadros!AB2 = ResultadosDatos!AB$1, ListaCuadros!AB2 &lt;&gt; 0),Configuraciones!$A$2,0)</f>
        <v>0</v>
      </c>
      <c r="AC2">
        <f>IF(AND(ListaCuadros!AC2 = ResultadosDatos!AC$1, ListaCuadros!AC2 &lt;&gt; 0),Configuraciones!$A$2,0)</f>
        <v>0</v>
      </c>
      <c r="AD2">
        <f>IF(AND(ListaCuadros!AD2 = ResultadosDatos!AD$1, ListaCuadros!AD2 &lt;&gt; 0),Configuraciones!$A$2,0)</f>
        <v>0</v>
      </c>
      <c r="AE2">
        <f>IF(AND(ListaCuadros!AE2 = ResultadosDatos!AE$1, ListaCuadros!AE2 &lt;&gt; 0),Configuraciones!$A$2,0)</f>
        <v>0</v>
      </c>
      <c r="AF2">
        <f>IF(AND(ListaCuadros!AF2 = ResultadosDatos!AF$1, ListaCuadros!AF2 &lt;&gt; 0),Configuraciones!$A$2,0)</f>
        <v>0</v>
      </c>
      <c r="AG2">
        <f>IF(AND(ListaCuadros!AG2 = ResultadosDatos!AG$1, ListaCuadros!AG2 &lt;&gt; 0),Configuraciones!$A$2,0)</f>
        <v>0</v>
      </c>
      <c r="AH2">
        <f>IF(AND(ListaCuadros!AH2 = ResultadosDatos!AH$1, ListaCuadros!AH2 &lt;&gt; 0),Configuraciones!$A$2,0)</f>
        <v>0</v>
      </c>
      <c r="AI2">
        <f>IF(AND(ListaCuadros!AI2 = ResultadosDatos!AI$1, ListaCuadros!AI2 &lt;&gt; 0),Configuraciones!$A$2,0)</f>
        <v>0</v>
      </c>
      <c r="AJ2">
        <f>IF(AND(ListaCuadros!AJ2 = ResultadosDatos!AJ$1, ListaCuadros!AJ2 &lt;&gt; 0),Configuraciones!$A$2,0)</f>
        <v>0</v>
      </c>
      <c r="AK2">
        <f>IF(AND(ListaCuadros!AK2 = ResultadosDatos!AK$1, ListaCuadros!AK2 &lt;&gt; 0),Configuraciones!$A$2,0)</f>
        <v>0</v>
      </c>
      <c r="AL2">
        <f>IF(AND(ListaCuadros!AL2 = ResultadosDatos!AL$1, ListaCuadros!AL2 &lt;&gt; 0),Configuraciones!$A$2,0)</f>
        <v>0</v>
      </c>
      <c r="AM2">
        <f>IF(AND(ListaCuadros!AM2 = ResultadosDatos!AM$1, ListaCuadros!AM2 &lt;&gt; 0),Configuraciones!$A$2,0)</f>
        <v>0</v>
      </c>
      <c r="AN2">
        <f>IF(AND(ListaCuadros!AN2 = ResultadosDatos!AN$1, ListaCuadros!AN2 &lt;&gt; 0),Configuraciones!$A$2,0)</f>
        <v>0</v>
      </c>
      <c r="AO2">
        <f>IF(AND(ListaCuadros!AO2 = ResultadosDatos!AO$1, ListaCuadros!AO2 &lt;&gt; 0),Configuraciones!$A$2,0)</f>
        <v>0</v>
      </c>
      <c r="AP2">
        <f>IF(AND(ListaCuadros!AP2 = ResultadosDatos!AP$1, ListaCuadros!AP2 &lt;&gt; 0),Configuraciones!$A$2,0)</f>
        <v>0</v>
      </c>
      <c r="AQ2">
        <f>IF(AND(ListaCuadros!AQ2 = ResultadosDatos!AQ$1, ListaCuadros!AQ2 &lt;&gt; 0),Configuraciones!$A$2,0)</f>
        <v>0</v>
      </c>
      <c r="AR2">
        <f>IF(AND(ListaCuadros!AR2 = ResultadosDatos!AR$1, ListaCuadros!AR2 &lt;&gt; 0),Configuraciones!$A$2,0)</f>
        <v>0</v>
      </c>
      <c r="AS2">
        <f>IF(AND(ListaCuadros!AS2 = ResultadosDatos!AS$1, ListaCuadros!AS2 &lt;&gt; 0),Configuraciones!$A$2,0)</f>
        <v>0</v>
      </c>
      <c r="AT2">
        <f>IF(AND(ListaCuadros!AT2 = ResultadosDatos!AT$1, ListaCuadros!AT2 &lt;&gt; 0),Configuraciones!$A$2,0)</f>
        <v>0</v>
      </c>
      <c r="AU2">
        <f>IF(AND(ListaCuadros!AU2 = ResultadosDatos!AU$1, ListaCuadros!AU2 &lt;&gt; 0),Configuraciones!$A$2,0)</f>
        <v>0</v>
      </c>
      <c r="AV2">
        <f>IF(AND(ListaCuadros!AV2 = ResultadosDatos!AV$1, ListaCuadros!AV2 &lt;&gt; 0),Configuraciones!$A$2,0)</f>
        <v>0</v>
      </c>
      <c r="AW2">
        <f>IF(AND(ListaCuadros!AW2 = ResultadosDatos!AW$1, ListaCuadros!AW2 &lt;&gt; 0),Configuraciones!$A$2,0)</f>
        <v>0</v>
      </c>
      <c r="AX2">
        <f>IF(AND(ListaCuadros!AX2 = ResultadosDatos!AX$1, ListaCuadros!AX2 &lt;&gt; 0),Configuraciones!$A$2,0)</f>
        <v>0</v>
      </c>
      <c r="AY2">
        <f>IF(AND(ListaCuadros!AY2 = ResultadosDatos!AY$1, ListaCuadros!AY2 &lt;&gt; 0),Configuraciones!$A$2,0)</f>
        <v>0</v>
      </c>
      <c r="AZ2">
        <f>IF(AND(ListaCuadros!AZ2 = ResultadosDatos!AZ$1, ListaCuadros!AZ2 &lt;&gt; 0),Configuraciones!$A$2,0)</f>
        <v>0</v>
      </c>
      <c r="BA2">
        <f>IF(AND(ListaCuadros!BA2 = ResultadosDatos!BA$1, ListaCuadros!BA2 &lt;&gt; 0),Configuraciones!$A$2,0)</f>
        <v>0</v>
      </c>
      <c r="BB2">
        <f>IF(AND(ListaCuadros!BB2 = ResultadosDatos!BB$1, ListaCuadros!BB2 &lt;&gt; 0),Configuraciones!$A$2,0)</f>
        <v>0</v>
      </c>
      <c r="BC2">
        <f>IF(AND(ListaCuadros!BC2 = ResultadosDatos!BC$1, ListaCuadros!BC2 &lt;&gt; 0),Configuraciones!$A$2,0)</f>
        <v>0</v>
      </c>
      <c r="BD2">
        <f>IF(AND(ListaCuadros!BD2 = ResultadosDatos!BD$1, ListaCuadros!BD2 &lt;&gt; 0),Configuraciones!$A$2,0)</f>
        <v>0</v>
      </c>
      <c r="BE2">
        <f>IF(AND(ListaCuadros!BE2 = ResultadosDatos!BE$1, ListaCuadros!BE2 &lt;&gt; 0),Configuraciones!$A$2,0)</f>
        <v>0</v>
      </c>
      <c r="BF2">
        <f>IF(AND(ListaCuadros!BF2 = ResultadosDatos!BF$1, ListaCuadros!BF2 &lt;&gt; 0),Configuraciones!$A$2,0)</f>
        <v>0</v>
      </c>
      <c r="BG2">
        <f>IF(AND(ListaCuadros!BG2 = ResultadosDatos!BG$1, ListaCuadros!BG2 &lt;&gt; 0),Configuraciones!$A$2,0)</f>
        <v>0</v>
      </c>
      <c r="BH2">
        <f>IF(AND(ListaCuadros!BH2 = ResultadosDatos!BH$1, ListaCuadros!BH2 &lt;&gt; 0),Configuraciones!$A$2,0)</f>
        <v>0</v>
      </c>
      <c r="BI2">
        <f>IF(AND(ListaCuadros!BI2 = ResultadosDatos!BI$1, ListaCuadros!BI2 &lt;&gt; 0),Configuraciones!$A$2,0)</f>
        <v>0</v>
      </c>
      <c r="BJ2">
        <f>IF(AND(ListaCuadros!BJ2 = ResultadosDatos!BJ$1, ListaCuadros!BJ2 &lt;&gt; 0),Configuraciones!$A$2,0)</f>
        <v>0</v>
      </c>
      <c r="BK2">
        <f>IF(AND(ListaCuadros!BK2 = ResultadosDatos!BK$1, ListaCuadros!BK2 &lt;&gt; 0),Configuraciones!$A$2,0)</f>
        <v>0</v>
      </c>
      <c r="BL2">
        <f>IF(AND(ListaCuadros!BL2 = ResultadosDatos!BL$1, ListaCuadros!BL2 &lt;&gt; 0),Configuraciones!$A$2,0)</f>
        <v>0</v>
      </c>
      <c r="BM2">
        <f>IF(AND(ListaCuadros!BM2 = ResultadosDatos!BM$1, ListaCuadros!BM2 &lt;&gt; 0),Configuraciones!$A$2,0)</f>
        <v>0</v>
      </c>
      <c r="BN2">
        <f>IF(AND(ListaCuadros!BN2 = ResultadosDatos!BN$1, ListaCuadros!BN2 &lt;&gt; 0),Configuraciones!$A$2,0)</f>
        <v>0</v>
      </c>
      <c r="BO2">
        <f>IF(AND(ListaCuadros!BO2 = ResultadosDatos!BO$1, ListaCuadros!BO2 &lt;&gt; 0),Configuraciones!$A$3,0)</f>
        <v>0</v>
      </c>
      <c r="BP2">
        <f>IF(AND(ListaCuadros!BP2 = ResultadosDatos!BP$1, ListaCuadros!BP2 &lt;&gt; 0),Configuraciones!$A$3,0)</f>
        <v>0</v>
      </c>
      <c r="BQ2">
        <f>IF(AND(ListaCuadros!BQ2 = ResultadosDatos!BQ$1, ListaCuadros!BQ2 &lt;&gt; 0),Configuraciones!$A$3,0)</f>
        <v>0</v>
      </c>
      <c r="BR2">
        <f>IF(AND(ListaCuadros!BR2 = ResultadosDatos!BR$1, ListaCuadros!BR2 &lt;&gt; 0),Configuraciones!$A$3,0)</f>
        <v>0</v>
      </c>
      <c r="BS2">
        <f>IF(AND(ListaCuadros!BS2 = ResultadosDatos!BS$1, ListaCuadros!BS2 &lt;&gt; 0),Configuraciones!$A$3,0)</f>
        <v>0</v>
      </c>
      <c r="BT2">
        <f>IF(AND(ListaCuadros!BT2 = ResultadosDatos!BT$1, ListaCuadros!BT2 &lt;&gt; 0),Configuraciones!$A$3,0)</f>
        <v>0</v>
      </c>
      <c r="BU2">
        <f>IF(AND(ListaCuadros!BU2 = ResultadosDatos!BU$1, ListaCuadros!BU2 &lt;&gt; 0),Configuraciones!$A$3,0)</f>
        <v>0</v>
      </c>
      <c r="BV2">
        <f>IF(AND(ListaCuadros!BV2 = ResultadosDatos!BV$1, ListaCuadros!BV2 &lt;&gt; 0),Configuraciones!$A$3,0)</f>
        <v>0</v>
      </c>
      <c r="BW2">
        <f>IF(AND(ListaCuadros!BW2 = ResultadosDatos!BW$1, ListaCuadros!BW2 &lt;&gt; 0),Configuraciones!$A$3,0)</f>
        <v>0</v>
      </c>
      <c r="BX2">
        <f>IF(AND(ListaCuadros!BX2 = ResultadosDatos!BX$1, ListaCuadros!BX2 &lt;&gt; 0),Configuraciones!$A$3,0)</f>
        <v>0</v>
      </c>
      <c r="BY2">
        <f>IF(AND(ListaCuadros!BY2 = ResultadosDatos!BY$1, ListaCuadros!BY2 &lt;&gt; 0),Configuraciones!$A$3,0)</f>
        <v>0</v>
      </c>
      <c r="BZ2">
        <f>IF(AND(ListaCuadros!BZ2 = ResultadosDatos!BZ$1, ListaCuadros!BZ2 &lt;&gt; 0),Configuraciones!$A$3,0)</f>
        <v>0</v>
      </c>
      <c r="CA2">
        <f>IF(AND(ListaCuadros!CA2 = ResultadosDatos!CA$1, ListaCuadros!CA2 &lt;&gt; 0),Configuraciones!$A$3,0)</f>
        <v>0</v>
      </c>
      <c r="CB2">
        <f>IF(AND(ListaCuadros!CB2 = ResultadosDatos!CB$1, ListaCuadros!CB2 &lt;&gt; 0),Configuraciones!$A$3,0)</f>
        <v>0</v>
      </c>
      <c r="CC2">
        <f>IF(AND(ListaCuadros!CC2 = ResultadosDatos!CC$1, ListaCuadros!CC2 &lt;&gt; 0),Configuraciones!$A$3,0)</f>
        <v>0</v>
      </c>
      <c r="CD2">
        <f>IF(AND(ListaCuadros!CD2 = ResultadosDatos!CD$1, ListaCuadros!CD2 &lt;&gt; 0),Configuraciones!$A$3,0)</f>
        <v>0</v>
      </c>
      <c r="CE2">
        <f>IF(AND(ListaCuadros!CE2 = ResultadosDatos!CE$1, ListaCuadros!CE2 &lt;&gt; 0),Configuraciones!$A$3,0)</f>
        <v>0</v>
      </c>
      <c r="CF2">
        <f>IF(AND(ListaCuadros!CF2 = ResultadosDatos!CF$1, ListaCuadros!CF2 &lt;&gt; 0),Configuraciones!$A$3,0)</f>
        <v>0</v>
      </c>
      <c r="CG2">
        <f>IF(AND(ListaCuadros!CG2 = ResultadosDatos!CG$1, ListaCuadros!CG2 &lt;&gt; 0),Configuraciones!$A$3,0)</f>
        <v>0</v>
      </c>
      <c r="CH2">
        <f>IF(AND(ListaCuadros!CH2 = ResultadosDatos!CH$1, ListaCuadros!CH2 &lt;&gt; 0),Configuraciones!$A$3,0)</f>
        <v>0</v>
      </c>
      <c r="CI2">
        <f>IF(AND(ListaCuadros!CI2 = ResultadosDatos!CI$1, ListaCuadros!CI2 &lt;&gt; 0),Configuraciones!$A$3,0)</f>
        <v>0</v>
      </c>
      <c r="CJ2">
        <f>IF(AND(ListaCuadros!CJ2 = ResultadosDatos!CJ$1, ListaCuadros!CJ2 &lt;&gt; 0),Configuraciones!$A$3,0)</f>
        <v>0</v>
      </c>
      <c r="CK2">
        <f>IF(AND(ListaCuadros!CK2 = ResultadosDatos!CK$1, ListaCuadros!CK2 &lt;&gt; 0),Configuraciones!$A$3,0)</f>
        <v>0</v>
      </c>
      <c r="CL2">
        <f>IF(AND(ListaCuadros!CL2 = ResultadosDatos!CL$1, ListaCuadros!CL2 &lt;&gt; 0),Configuraciones!$A$3,0)</f>
        <v>0</v>
      </c>
      <c r="CM2">
        <f>IF(AND(ListaCuadros!CM2 = ResultadosDatos!CM$1, ListaCuadros!CM2 &lt;&gt; 0),Configuraciones!$A$3,0)</f>
        <v>0</v>
      </c>
      <c r="CN2">
        <f>IF(AND(ListaCuadros!CN2 = ResultadosDatos!CN$1, ListaCuadros!CN2 &lt;&gt; 0),Configuraciones!$A$3,0)</f>
        <v>0</v>
      </c>
      <c r="CO2">
        <f>IF(AND(ListaCuadros!CO2 = ResultadosDatos!CO$1, ListaCuadros!CO2 &lt;&gt; 0),Configuraciones!$A$3,0)</f>
        <v>0</v>
      </c>
      <c r="CP2">
        <f>IF(AND(ListaCuadros!CP2 = ResultadosDatos!CP$1, ListaCuadros!CP2 &lt;&gt; 0),Configuraciones!$A$3,0)</f>
        <v>0</v>
      </c>
      <c r="CQ2">
        <f>IF(AND(ListaCuadros!CQ2 = ResultadosDatos!CQ$1, ListaCuadros!CQ2 &lt;&gt; 0),Configuraciones!$A$3,0)</f>
        <v>0</v>
      </c>
      <c r="CR2">
        <f>IF(AND(ListaCuadros!CR2 = ResultadosDatos!CR$1, ListaCuadros!CR2 &lt;&gt; 0),Configuraciones!$A$3,0)</f>
        <v>0</v>
      </c>
      <c r="CS2">
        <f>IF(AND(ListaCuadros!CS2 = ResultadosDatos!CS$1, ListaCuadros!CS2 &lt;&gt; 0),Configuraciones!$A$3,0)</f>
        <v>0</v>
      </c>
      <c r="CT2">
        <f>IF(AND(ListaCuadros!CT2 = ResultadosDatos!CT$1, ListaCuadros!CT2 &lt;&gt; 0),Configuraciones!$A$3,0)</f>
        <v>0</v>
      </c>
      <c r="CU2">
        <f>IF(AND(ListaCuadros!CU2 = ResultadosDatos!CU$1, ListaCuadros!CU2 &lt;&gt; 0),Configuraciones!$A$4,0)</f>
        <v>0</v>
      </c>
      <c r="CV2">
        <f>IF(AND(ListaCuadros!CV2 = ResultadosDatos!CV$1, ListaCuadros!CV2 &lt;&gt; 0),Configuraciones!$A$4,0)</f>
        <v>0</v>
      </c>
      <c r="CW2">
        <f>IF(AND(ListaCuadros!CW2 = ResultadosDatos!CW$1, ListaCuadros!CW2 &lt;&gt; 0),Configuraciones!$A$4,0)</f>
        <v>0</v>
      </c>
      <c r="CX2">
        <f>IF(AND(ListaCuadros!CX2 = ResultadosDatos!CX$1, ListaCuadros!CX2 &lt;&gt; 0),Configuraciones!$A$4,0)</f>
        <v>0</v>
      </c>
      <c r="CY2">
        <f>IF(AND(ListaCuadros!CY2 = ResultadosDatos!CY$1, ListaCuadros!CY2 &lt;&gt; 0),Configuraciones!$A$4,0)</f>
        <v>0</v>
      </c>
      <c r="CZ2">
        <f>IF(AND(ListaCuadros!CZ2 = ResultadosDatos!CZ$1, ListaCuadros!CZ2 &lt;&gt; 0),Configuraciones!$A$4,0)</f>
        <v>0</v>
      </c>
      <c r="DA2">
        <f>IF(AND(ListaCuadros!DA2 = ResultadosDatos!DA$1, ListaCuadros!DA2 &lt;&gt; 0),Configuraciones!$A$4,0)</f>
        <v>0</v>
      </c>
      <c r="DB2">
        <f>IF(AND(ListaCuadros!DB2 = ResultadosDatos!DB$1, ListaCuadros!DB2 &lt;&gt; 0),Configuraciones!$A$4,0)</f>
        <v>0</v>
      </c>
      <c r="DC2">
        <f>IF(AND(ListaCuadros!DC2 = ResultadosDatos!DC$1, ListaCuadros!DC2 &lt;&gt; 0),Configuraciones!$A$4,0)</f>
        <v>0</v>
      </c>
      <c r="DD2">
        <f>IF(AND(ListaCuadros!DD2 = ResultadosDatos!DD$1, ListaCuadros!DD2 &lt;&gt; 0),Configuraciones!$A$4,0)</f>
        <v>0</v>
      </c>
      <c r="DE2">
        <f>IF(AND(ListaCuadros!DE2 = ResultadosDatos!DE$1, ListaCuadros!DE2 &lt;&gt; 0),Configuraciones!$A$4,0)</f>
        <v>0</v>
      </c>
      <c r="DF2">
        <f>IF(AND(ListaCuadros!DF2 = ResultadosDatos!DF$1, ListaCuadros!DF2 &lt;&gt; 0),Configuraciones!$A$4,0)</f>
        <v>0</v>
      </c>
      <c r="DG2">
        <f>IF(AND(ListaCuadros!DG2 = ResultadosDatos!DG$1, ListaCuadros!DG2 &lt;&gt; 0),Configuraciones!$A$4,0)</f>
        <v>0</v>
      </c>
      <c r="DH2">
        <f>IF(AND(ListaCuadros!DH2 = ResultadosDatos!DH$1, ListaCuadros!DH2 &lt;&gt; 0),Configuraciones!$A$4,0)</f>
        <v>0</v>
      </c>
      <c r="DI2">
        <f>IF(AND(ListaCuadros!DI2 = ResultadosDatos!DI$1, ListaCuadros!DI2 &lt;&gt; 0),Configuraciones!$A$4,0)</f>
        <v>0</v>
      </c>
      <c r="DJ2">
        <f>IF(AND(ListaCuadros!DJ2 = ResultadosDatos!DJ$1, ListaCuadros!DJ2 &lt;&gt; 0),Configuraciones!$A$4,0)</f>
        <v>0</v>
      </c>
      <c r="DK2">
        <f>IF(AND(ListaCuadros!DK2 = ResultadosDatos!DK$1, ListaCuadros!DK2 &lt;&gt; 0),Configuraciones!$A$5,0)</f>
        <v>0</v>
      </c>
      <c r="DL2">
        <f>IF(AND(ListaCuadros!DL2 = ResultadosDatos!DL$1, ListaCuadros!DL2 &lt;&gt; 0),Configuraciones!$A$5,0)</f>
        <v>0</v>
      </c>
      <c r="DM2">
        <f>IF(AND(ListaCuadros!DM2 = ResultadosDatos!DM$1, ListaCuadros!DM2 &lt;&gt; 0),Configuraciones!$A$5,0)</f>
        <v>0</v>
      </c>
      <c r="DN2">
        <f>IF(AND(ListaCuadros!DN2 = ResultadosDatos!DN$1, ListaCuadros!DN2 &lt;&gt; 0),Configuraciones!$A$5,0)</f>
        <v>0</v>
      </c>
      <c r="DO2">
        <f>IF(AND(ListaCuadros!DO2 = ResultadosDatos!DO$1, ListaCuadros!DO2 &lt;&gt; 0),Configuraciones!$A$5,0)</f>
        <v>0</v>
      </c>
      <c r="DP2">
        <f>IF(AND(ListaCuadros!DP2 = ResultadosDatos!DP$1, ListaCuadros!DP2 &lt;&gt; 0),Configuraciones!$A$5,0)</f>
        <v>0</v>
      </c>
      <c r="DQ2">
        <f>IF(AND(ListaCuadros!DQ2 = ResultadosDatos!DQ$1, ListaCuadros!DQ2 &lt;&gt; 0),Configuraciones!$A$5,0)</f>
        <v>0</v>
      </c>
      <c r="DR2">
        <f>IF(AND(ListaCuadros!DR2 = ResultadosDatos!DR$1, ListaCuadros!DR2 &lt;&gt; 0),Configuraciones!$A$5,0)</f>
        <v>0</v>
      </c>
      <c r="DS2">
        <f>IF(AND(ListaCuadros!DS2 = ResultadosDatos!DS$1, ListaCuadros!DS2 &lt;&gt; 0),Configuraciones!$A$6,0)</f>
        <v>0</v>
      </c>
      <c r="DT2">
        <f>IF(AND(ListaCuadros!DT2 = ResultadosDatos!DT$1, ListaCuadros!DT2 &lt;&gt; 0),Configuraciones!$A$6,0)</f>
        <v>0</v>
      </c>
      <c r="DU2">
        <f>IF(AND(ListaCuadros!DU2 = ResultadosDatos!DU$1, ListaCuadros!DU2 &lt;&gt; 0),Configuraciones!$A$6,0)</f>
        <v>0</v>
      </c>
      <c r="DV2">
        <f>IF(AND(ListaCuadros!DV2 = ResultadosDatos!DV$1, ListaCuadros!DV2 &lt;&gt; 0),Configuraciones!$A$6,0)</f>
        <v>0</v>
      </c>
      <c r="DW2">
        <f>IF(AND(ListaCuadros!DW2 = ResultadosDatos!DW$1, ListaCuadros!DW2 &lt;&gt; 0),Configuraciones!$A$7,0)</f>
        <v>0</v>
      </c>
      <c r="DX2">
        <f>IF(AND(ListaCuadros!DX2 = ResultadosDatos!DX$1, ListaCuadros!DX2 &lt;&gt; 0),Configuraciones!$A$7,0)</f>
        <v>0</v>
      </c>
      <c r="DY2">
        <f>IF(AND(ListaCuadros!DY2 = ResultadosDatos!DY$1, ListaCuadros!DY2 &lt;&gt; 0),Configuraciones!$A$8,0)</f>
        <v>0</v>
      </c>
      <c r="DZ2">
        <f>SUM(C2:DY2)</f>
        <v>0</v>
      </c>
    </row>
    <row r="3" spans="1:130" x14ac:dyDescent="0.35">
      <c r="A3">
        <f>ListaCuadros!A3</f>
        <v>2</v>
      </c>
      <c r="B3" t="str">
        <f>ListaCuadros!B3</f>
        <v>user2</v>
      </c>
      <c r="C3">
        <f>IF(AND(ListaCuadros!C3 = ResultadosDatos!C$1, ListaCuadros!C3 &lt;&gt; 0),Configuraciones!$A$2,0)</f>
        <v>0</v>
      </c>
      <c r="D3">
        <f>IF(AND(ListaCuadros!D3 = ResultadosDatos!D$1, ListaCuadros!D3 &lt;&gt; 0),Configuraciones!$A$2,0)</f>
        <v>0</v>
      </c>
      <c r="E3">
        <f>IF(AND(ListaCuadros!E3 = ResultadosDatos!E$1, ListaCuadros!E3 &lt;&gt; 0),Configuraciones!$A$2,0)</f>
        <v>0</v>
      </c>
      <c r="F3">
        <f>IF(AND(ListaCuadros!F3 = ResultadosDatos!F$1, ListaCuadros!F3 &lt;&gt; 0),Configuraciones!$A$2,0)</f>
        <v>0</v>
      </c>
      <c r="G3">
        <f>IF(AND(ListaCuadros!G3 = ResultadosDatos!G$1, ListaCuadros!G3 &lt;&gt; 0),Configuraciones!$A$2,0)</f>
        <v>0</v>
      </c>
      <c r="H3">
        <f>IF(AND(ListaCuadros!H3 = ResultadosDatos!H$1, ListaCuadros!H3 &lt;&gt; 0),Configuraciones!$A$2,0)</f>
        <v>0</v>
      </c>
      <c r="I3">
        <f>IF(AND(ListaCuadros!I3 = ResultadosDatos!I$1, ListaCuadros!I3 &lt;&gt; 0),Configuraciones!$A$2,0)</f>
        <v>0</v>
      </c>
      <c r="J3">
        <f>IF(AND(ListaCuadros!J3 = ResultadosDatos!J$1, ListaCuadros!J3 &lt;&gt; 0),Configuraciones!$A$2,0)</f>
        <v>0</v>
      </c>
      <c r="K3">
        <f>IF(AND(ListaCuadros!K3 = ResultadosDatos!K$1, ListaCuadros!K3 &lt;&gt; 0),Configuraciones!$A$2,0)</f>
        <v>0</v>
      </c>
      <c r="L3">
        <f>IF(AND(ListaCuadros!L3 = ResultadosDatos!L$1, ListaCuadros!L3 &lt;&gt; 0),Configuraciones!$A$2,0)</f>
        <v>0</v>
      </c>
      <c r="M3">
        <f>IF(AND(ListaCuadros!M3 = ResultadosDatos!M$1, ListaCuadros!M3 &lt;&gt; 0),Configuraciones!$A$2,0)</f>
        <v>0</v>
      </c>
      <c r="N3">
        <f>IF(AND(ListaCuadros!N3 = ResultadosDatos!N$1, ListaCuadros!N3 &lt;&gt; 0),Configuraciones!$A$2,0)</f>
        <v>0</v>
      </c>
      <c r="O3">
        <f>IF(AND(ListaCuadros!O3 = ResultadosDatos!O$1, ListaCuadros!O3 &lt;&gt; 0),Configuraciones!$A$2,0)</f>
        <v>0</v>
      </c>
      <c r="P3">
        <f>IF(AND(ListaCuadros!P3 = ResultadosDatos!P$1, ListaCuadros!P3 &lt;&gt; 0),Configuraciones!$A$2,0)</f>
        <v>0</v>
      </c>
      <c r="Q3">
        <f>IF(AND(ListaCuadros!Q3 = ResultadosDatos!Q$1, ListaCuadros!Q3 &lt;&gt; 0),Configuraciones!$A$2,0)</f>
        <v>0</v>
      </c>
      <c r="R3">
        <f>IF(AND(ListaCuadros!R3 = ResultadosDatos!R$1, ListaCuadros!R3 &lt;&gt; 0),Configuraciones!$A$2,0)</f>
        <v>0</v>
      </c>
      <c r="S3">
        <f>IF(AND(ListaCuadros!S3 = ResultadosDatos!S$1, ListaCuadros!S3 &lt;&gt; 0),Configuraciones!$A$2,0)</f>
        <v>0</v>
      </c>
      <c r="T3">
        <f>IF(AND(ListaCuadros!T3 = ResultadosDatos!T$1, ListaCuadros!T3 &lt;&gt; 0),Configuraciones!$A$2,0)</f>
        <v>0</v>
      </c>
      <c r="U3">
        <f>IF(AND(ListaCuadros!U3 = ResultadosDatos!U$1, ListaCuadros!U3 &lt;&gt; 0),Configuraciones!$A$2,0)</f>
        <v>0</v>
      </c>
      <c r="V3">
        <f>IF(AND(ListaCuadros!V3 = ResultadosDatos!V$1, ListaCuadros!V3 &lt;&gt; 0),Configuraciones!$A$2,0)</f>
        <v>0</v>
      </c>
      <c r="W3">
        <f>IF(AND(ListaCuadros!W3 = ResultadosDatos!W$1, ListaCuadros!W3 &lt;&gt; 0),Configuraciones!$A$2,0)</f>
        <v>0</v>
      </c>
      <c r="X3">
        <f>IF(AND(ListaCuadros!X3 = ResultadosDatos!X$1, ListaCuadros!X3 &lt;&gt; 0),Configuraciones!$A$2,0)</f>
        <v>0</v>
      </c>
      <c r="Y3">
        <f>IF(AND(ListaCuadros!Y3 = ResultadosDatos!Y$1, ListaCuadros!Y3 &lt;&gt; 0),Configuraciones!$A$2,0)</f>
        <v>0</v>
      </c>
      <c r="Z3">
        <f>IF(AND(ListaCuadros!Z3 = ResultadosDatos!Z$1, ListaCuadros!Z3 &lt;&gt; 0),Configuraciones!$A$2,0)</f>
        <v>0</v>
      </c>
      <c r="AA3">
        <f>IF(AND(ListaCuadros!AA3 = ResultadosDatos!AA$1, ListaCuadros!AA3 &lt;&gt; 0),Configuraciones!$A$2,0)</f>
        <v>0</v>
      </c>
      <c r="AB3">
        <f>IF(AND(ListaCuadros!AB3 = ResultadosDatos!AB$1, ListaCuadros!AB3 &lt;&gt; 0),Configuraciones!$A$2,0)</f>
        <v>0</v>
      </c>
      <c r="AC3">
        <f>IF(AND(ListaCuadros!AC3 = ResultadosDatos!AC$1, ListaCuadros!AC3 &lt;&gt; 0),Configuraciones!$A$2,0)</f>
        <v>0</v>
      </c>
      <c r="AD3">
        <f>IF(AND(ListaCuadros!AD3 = ResultadosDatos!AD$1, ListaCuadros!AD3 &lt;&gt; 0),Configuraciones!$A$2,0)</f>
        <v>0</v>
      </c>
      <c r="AE3">
        <f>IF(AND(ListaCuadros!AE3 = ResultadosDatos!AE$1, ListaCuadros!AE3 &lt;&gt; 0),Configuraciones!$A$2,0)</f>
        <v>0</v>
      </c>
      <c r="AF3">
        <f>IF(AND(ListaCuadros!AF3 = ResultadosDatos!AF$1, ListaCuadros!AF3 &lt;&gt; 0),Configuraciones!$A$2,0)</f>
        <v>0</v>
      </c>
      <c r="AG3">
        <f>IF(AND(ListaCuadros!AG3 = ResultadosDatos!AG$1, ListaCuadros!AG3 &lt;&gt; 0),Configuraciones!$A$2,0)</f>
        <v>0</v>
      </c>
      <c r="AH3">
        <f>IF(AND(ListaCuadros!AH3 = ResultadosDatos!AH$1, ListaCuadros!AH3 &lt;&gt; 0),Configuraciones!$A$2,0)</f>
        <v>0</v>
      </c>
      <c r="AI3">
        <f>IF(AND(ListaCuadros!AI3 = ResultadosDatos!AI$1, ListaCuadros!AI3 &lt;&gt; 0),Configuraciones!$A$2,0)</f>
        <v>0</v>
      </c>
      <c r="AJ3">
        <f>IF(AND(ListaCuadros!AJ3 = ResultadosDatos!AJ$1, ListaCuadros!AJ3 &lt;&gt; 0),Configuraciones!$A$2,0)</f>
        <v>0</v>
      </c>
      <c r="AK3">
        <f>IF(AND(ListaCuadros!AK3 = ResultadosDatos!AK$1, ListaCuadros!AK3 &lt;&gt; 0),Configuraciones!$A$2,0)</f>
        <v>0</v>
      </c>
      <c r="AL3">
        <f>IF(AND(ListaCuadros!AL3 = ResultadosDatos!AL$1, ListaCuadros!AL3 &lt;&gt; 0),Configuraciones!$A$2,0)</f>
        <v>0</v>
      </c>
      <c r="AM3">
        <f>IF(AND(ListaCuadros!AM3 = ResultadosDatos!AM$1, ListaCuadros!AM3 &lt;&gt; 0),Configuraciones!$A$2,0)</f>
        <v>0</v>
      </c>
      <c r="AN3">
        <f>IF(AND(ListaCuadros!AN3 = ResultadosDatos!AN$1, ListaCuadros!AN3 &lt;&gt; 0),Configuraciones!$A$2,0)</f>
        <v>0</v>
      </c>
      <c r="AO3">
        <f>IF(AND(ListaCuadros!AO3 = ResultadosDatos!AO$1, ListaCuadros!AO3 &lt;&gt; 0),Configuraciones!$A$2,0)</f>
        <v>0</v>
      </c>
      <c r="AP3">
        <f>IF(AND(ListaCuadros!AP3 = ResultadosDatos!AP$1, ListaCuadros!AP3 &lt;&gt; 0),Configuraciones!$A$2,0)</f>
        <v>0</v>
      </c>
      <c r="AQ3">
        <f>IF(AND(ListaCuadros!AQ3 = ResultadosDatos!AQ$1, ListaCuadros!AQ3 &lt;&gt; 0),Configuraciones!$A$2,0)</f>
        <v>0</v>
      </c>
      <c r="AR3">
        <f>IF(AND(ListaCuadros!AR3 = ResultadosDatos!AR$1, ListaCuadros!AR3 &lt;&gt; 0),Configuraciones!$A$2,0)</f>
        <v>0</v>
      </c>
      <c r="AS3">
        <f>IF(AND(ListaCuadros!AS3 = ResultadosDatos!AS$1, ListaCuadros!AS3 &lt;&gt; 0),Configuraciones!$A$2,0)</f>
        <v>0</v>
      </c>
      <c r="AT3">
        <f>IF(AND(ListaCuadros!AT3 = ResultadosDatos!AT$1, ListaCuadros!AT3 &lt;&gt; 0),Configuraciones!$A$2,0)</f>
        <v>0</v>
      </c>
      <c r="AU3">
        <f>IF(AND(ListaCuadros!AU3 = ResultadosDatos!AU$1, ListaCuadros!AU3 &lt;&gt; 0),Configuraciones!$A$2,0)</f>
        <v>0</v>
      </c>
      <c r="AV3">
        <f>IF(AND(ListaCuadros!AV3 = ResultadosDatos!AV$1, ListaCuadros!AV3 &lt;&gt; 0),Configuraciones!$A$2,0)</f>
        <v>0</v>
      </c>
      <c r="AW3">
        <f>IF(AND(ListaCuadros!AW3 = ResultadosDatos!AW$1, ListaCuadros!AW3 &lt;&gt; 0),Configuraciones!$A$2,0)</f>
        <v>0</v>
      </c>
      <c r="AX3">
        <f>IF(AND(ListaCuadros!AX3 = ResultadosDatos!AX$1, ListaCuadros!AX3 &lt;&gt; 0),Configuraciones!$A$2,0)</f>
        <v>0</v>
      </c>
      <c r="AY3">
        <f>IF(AND(ListaCuadros!AY3 = ResultadosDatos!AY$1, ListaCuadros!AY3 &lt;&gt; 0),Configuraciones!$A$2,0)</f>
        <v>0</v>
      </c>
      <c r="AZ3">
        <f>IF(AND(ListaCuadros!AZ3 = ResultadosDatos!AZ$1, ListaCuadros!AZ3 &lt;&gt; 0),Configuraciones!$A$2,0)</f>
        <v>0</v>
      </c>
      <c r="BA3">
        <f>IF(AND(ListaCuadros!BA3 = ResultadosDatos!BA$1, ListaCuadros!BA3 &lt;&gt; 0),Configuraciones!$A$2,0)</f>
        <v>0</v>
      </c>
      <c r="BB3">
        <f>IF(AND(ListaCuadros!BB3 = ResultadosDatos!BB$1, ListaCuadros!BB3 &lt;&gt; 0),Configuraciones!$A$2,0)</f>
        <v>0</v>
      </c>
      <c r="BC3">
        <f>IF(AND(ListaCuadros!BC3 = ResultadosDatos!BC$1, ListaCuadros!BC3 &lt;&gt; 0),Configuraciones!$A$2,0)</f>
        <v>0</v>
      </c>
      <c r="BD3">
        <f>IF(AND(ListaCuadros!BD3 = ResultadosDatos!BD$1, ListaCuadros!BD3 &lt;&gt; 0),Configuraciones!$A$2,0)</f>
        <v>0</v>
      </c>
      <c r="BE3">
        <f>IF(AND(ListaCuadros!BE3 = ResultadosDatos!BE$1, ListaCuadros!BE3 &lt;&gt; 0),Configuraciones!$A$2,0)</f>
        <v>0</v>
      </c>
      <c r="BF3">
        <f>IF(AND(ListaCuadros!BF3 = ResultadosDatos!BF$1, ListaCuadros!BF3 &lt;&gt; 0),Configuraciones!$A$2,0)</f>
        <v>0</v>
      </c>
      <c r="BG3">
        <f>IF(AND(ListaCuadros!BG3 = ResultadosDatos!BG$1, ListaCuadros!BG3 &lt;&gt; 0),Configuraciones!$A$2,0)</f>
        <v>0</v>
      </c>
      <c r="BH3">
        <f>IF(AND(ListaCuadros!BH3 = ResultadosDatos!BH$1, ListaCuadros!BH3 &lt;&gt; 0),Configuraciones!$A$2,0)</f>
        <v>0</v>
      </c>
      <c r="BI3">
        <f>IF(AND(ListaCuadros!BI3 = ResultadosDatos!BI$1, ListaCuadros!BI3 &lt;&gt; 0),Configuraciones!$A$2,0)</f>
        <v>0</v>
      </c>
      <c r="BJ3">
        <f>IF(AND(ListaCuadros!BJ3 = ResultadosDatos!BJ$1, ListaCuadros!BJ3 &lt;&gt; 0),Configuraciones!$A$2,0)</f>
        <v>0</v>
      </c>
      <c r="BK3">
        <f>IF(AND(ListaCuadros!BK3 = ResultadosDatos!BK$1, ListaCuadros!BK3 &lt;&gt; 0),Configuraciones!$A$2,0)</f>
        <v>0</v>
      </c>
      <c r="BL3">
        <f>IF(AND(ListaCuadros!BL3 = ResultadosDatos!BL$1, ListaCuadros!BL3 &lt;&gt; 0),Configuraciones!$A$2,0)</f>
        <v>0</v>
      </c>
      <c r="BM3">
        <f>IF(AND(ListaCuadros!BM3 = ResultadosDatos!BM$1, ListaCuadros!BM3 &lt;&gt; 0),Configuraciones!$A$2,0)</f>
        <v>0</v>
      </c>
      <c r="BN3">
        <f>IF(AND(ListaCuadros!BN3 = ResultadosDatos!BN$1, ListaCuadros!BN3 &lt;&gt; 0),Configuraciones!$A$2,0)</f>
        <v>0</v>
      </c>
      <c r="BO3">
        <f>IF(AND(ListaCuadros!BO3 = ResultadosDatos!BO$1, ListaCuadros!BO3 &lt;&gt; 0),Configuraciones!$A$3,0)</f>
        <v>0</v>
      </c>
      <c r="BP3">
        <f>IF(AND(ListaCuadros!BP3 = ResultadosDatos!BP$1, ListaCuadros!BP3 &lt;&gt; 0),Configuraciones!$A$3,0)</f>
        <v>0</v>
      </c>
      <c r="BQ3">
        <f>IF(AND(ListaCuadros!BQ3 = ResultadosDatos!BQ$1, ListaCuadros!BQ3 &lt;&gt; 0),Configuraciones!$A$3,0)</f>
        <v>0</v>
      </c>
      <c r="BR3">
        <f>IF(AND(ListaCuadros!BR3 = ResultadosDatos!BR$1, ListaCuadros!BR3 &lt;&gt; 0),Configuraciones!$A$3,0)</f>
        <v>0</v>
      </c>
      <c r="BS3">
        <f>IF(AND(ListaCuadros!BS3 = ResultadosDatos!BS$1, ListaCuadros!BS3 &lt;&gt; 0),Configuraciones!$A$3,0)</f>
        <v>0</v>
      </c>
      <c r="BT3">
        <f>IF(AND(ListaCuadros!BT3 = ResultadosDatos!BT$1, ListaCuadros!BT3 &lt;&gt; 0),Configuraciones!$A$3,0)</f>
        <v>0</v>
      </c>
      <c r="BU3">
        <f>IF(AND(ListaCuadros!BU3 = ResultadosDatos!BU$1, ListaCuadros!BU3 &lt;&gt; 0),Configuraciones!$A$3,0)</f>
        <v>0</v>
      </c>
      <c r="BV3">
        <f>IF(AND(ListaCuadros!BV3 = ResultadosDatos!BV$1, ListaCuadros!BV3 &lt;&gt; 0),Configuraciones!$A$3,0)</f>
        <v>0</v>
      </c>
      <c r="BW3">
        <f>IF(AND(ListaCuadros!BW3 = ResultadosDatos!BW$1, ListaCuadros!BW3 &lt;&gt; 0),Configuraciones!$A$3,0)</f>
        <v>0</v>
      </c>
      <c r="BX3">
        <f>IF(AND(ListaCuadros!BX3 = ResultadosDatos!BX$1, ListaCuadros!BX3 &lt;&gt; 0),Configuraciones!$A$3,0)</f>
        <v>0</v>
      </c>
      <c r="BY3">
        <f>IF(AND(ListaCuadros!BY3 = ResultadosDatos!BY$1, ListaCuadros!BY3 &lt;&gt; 0),Configuraciones!$A$3,0)</f>
        <v>0</v>
      </c>
      <c r="BZ3">
        <f>IF(AND(ListaCuadros!BZ3 = ResultadosDatos!BZ$1, ListaCuadros!BZ3 &lt;&gt; 0),Configuraciones!$A$3,0)</f>
        <v>0</v>
      </c>
      <c r="CA3">
        <f>IF(AND(ListaCuadros!CA3 = ResultadosDatos!CA$1, ListaCuadros!CA3 &lt;&gt; 0),Configuraciones!$A$3,0)</f>
        <v>0</v>
      </c>
      <c r="CB3">
        <f>IF(AND(ListaCuadros!CB3 = ResultadosDatos!CB$1, ListaCuadros!CB3 &lt;&gt; 0),Configuraciones!$A$3,0)</f>
        <v>0</v>
      </c>
      <c r="CC3">
        <f>IF(AND(ListaCuadros!CC3 = ResultadosDatos!CC$1, ListaCuadros!CC3 &lt;&gt; 0),Configuraciones!$A$3,0)</f>
        <v>0</v>
      </c>
      <c r="CD3">
        <f>IF(AND(ListaCuadros!CD3 = ResultadosDatos!CD$1, ListaCuadros!CD3 &lt;&gt; 0),Configuraciones!$A$3,0)</f>
        <v>0</v>
      </c>
      <c r="CE3">
        <f>IF(AND(ListaCuadros!CE3 = ResultadosDatos!CE$1, ListaCuadros!CE3 &lt;&gt; 0),Configuraciones!$A$3,0)</f>
        <v>0</v>
      </c>
      <c r="CF3">
        <f>IF(AND(ListaCuadros!CF3 = ResultadosDatos!CF$1, ListaCuadros!CF3 &lt;&gt; 0),Configuraciones!$A$3,0)</f>
        <v>0</v>
      </c>
      <c r="CG3">
        <f>IF(AND(ListaCuadros!CG3 = ResultadosDatos!CG$1, ListaCuadros!CG3 &lt;&gt; 0),Configuraciones!$A$3,0)</f>
        <v>0</v>
      </c>
      <c r="CH3">
        <f>IF(AND(ListaCuadros!CH3 = ResultadosDatos!CH$1, ListaCuadros!CH3 &lt;&gt; 0),Configuraciones!$A$3,0)</f>
        <v>0</v>
      </c>
      <c r="CI3">
        <f>IF(AND(ListaCuadros!CI3 = ResultadosDatos!CI$1, ListaCuadros!CI3 &lt;&gt; 0),Configuraciones!$A$3,0)</f>
        <v>0</v>
      </c>
      <c r="CJ3">
        <f>IF(AND(ListaCuadros!CJ3 = ResultadosDatos!CJ$1, ListaCuadros!CJ3 &lt;&gt; 0),Configuraciones!$A$3,0)</f>
        <v>0</v>
      </c>
      <c r="CK3">
        <f>IF(AND(ListaCuadros!CK3 = ResultadosDatos!CK$1, ListaCuadros!CK3 &lt;&gt; 0),Configuraciones!$A$3,0)</f>
        <v>0</v>
      </c>
      <c r="CL3">
        <f>IF(AND(ListaCuadros!CL3 = ResultadosDatos!CL$1, ListaCuadros!CL3 &lt;&gt; 0),Configuraciones!$A$3,0)</f>
        <v>0</v>
      </c>
      <c r="CM3">
        <f>IF(AND(ListaCuadros!CM3 = ResultadosDatos!CM$1, ListaCuadros!CM3 &lt;&gt; 0),Configuraciones!$A$3,0)</f>
        <v>0</v>
      </c>
      <c r="CN3">
        <f>IF(AND(ListaCuadros!CN3 = ResultadosDatos!CN$1, ListaCuadros!CN3 &lt;&gt; 0),Configuraciones!$A$3,0)</f>
        <v>0</v>
      </c>
      <c r="CO3">
        <f>IF(AND(ListaCuadros!CO3 = ResultadosDatos!CO$1, ListaCuadros!CO3 &lt;&gt; 0),Configuraciones!$A$3,0)</f>
        <v>0</v>
      </c>
      <c r="CP3">
        <f>IF(AND(ListaCuadros!CP3 = ResultadosDatos!CP$1, ListaCuadros!CP3 &lt;&gt; 0),Configuraciones!$A$3,0)</f>
        <v>0</v>
      </c>
      <c r="CQ3">
        <f>IF(AND(ListaCuadros!CQ3 = ResultadosDatos!CQ$1, ListaCuadros!CQ3 &lt;&gt; 0),Configuraciones!$A$3,0)</f>
        <v>0</v>
      </c>
      <c r="CR3">
        <f>IF(AND(ListaCuadros!CR3 = ResultadosDatos!CR$1, ListaCuadros!CR3 &lt;&gt; 0),Configuraciones!$A$3,0)</f>
        <v>0</v>
      </c>
      <c r="CS3">
        <f>IF(AND(ListaCuadros!CS3 = ResultadosDatos!CS$1, ListaCuadros!CS3 &lt;&gt; 0),Configuraciones!$A$3,0)</f>
        <v>0</v>
      </c>
      <c r="CT3">
        <f>IF(AND(ListaCuadros!CT3 = ResultadosDatos!CT$1, ListaCuadros!CT3 &lt;&gt; 0),Configuraciones!$A$3,0)</f>
        <v>0</v>
      </c>
      <c r="CU3">
        <f>IF(AND(ListaCuadros!CU3 = ResultadosDatos!CU$1, ListaCuadros!CU3 &lt;&gt; 0),Configuraciones!$A$4,0)</f>
        <v>0</v>
      </c>
      <c r="CV3">
        <f>IF(AND(ListaCuadros!CV3 = ResultadosDatos!CV$1, ListaCuadros!CV3 &lt;&gt; 0),Configuraciones!$A$4,0)</f>
        <v>0</v>
      </c>
      <c r="CW3">
        <f>IF(AND(ListaCuadros!CW3 = ResultadosDatos!CW$1, ListaCuadros!CW3 &lt;&gt; 0),Configuraciones!$A$4,0)</f>
        <v>0</v>
      </c>
      <c r="CX3">
        <f>IF(AND(ListaCuadros!CX3 = ResultadosDatos!CX$1, ListaCuadros!CX3 &lt;&gt; 0),Configuraciones!$A$4,0)</f>
        <v>0</v>
      </c>
      <c r="CY3">
        <f>IF(AND(ListaCuadros!CY3 = ResultadosDatos!CY$1, ListaCuadros!CY3 &lt;&gt; 0),Configuraciones!$A$4,0)</f>
        <v>0</v>
      </c>
      <c r="CZ3">
        <f>IF(AND(ListaCuadros!CZ3 = ResultadosDatos!CZ$1, ListaCuadros!CZ3 &lt;&gt; 0),Configuraciones!$A$4,0)</f>
        <v>0</v>
      </c>
      <c r="DA3">
        <f>IF(AND(ListaCuadros!DA3 = ResultadosDatos!DA$1, ListaCuadros!DA3 &lt;&gt; 0),Configuraciones!$A$4,0)</f>
        <v>0</v>
      </c>
      <c r="DB3">
        <f>IF(AND(ListaCuadros!DB3 = ResultadosDatos!DB$1, ListaCuadros!DB3 &lt;&gt; 0),Configuraciones!$A$4,0)</f>
        <v>0</v>
      </c>
      <c r="DC3">
        <f>IF(AND(ListaCuadros!DC3 = ResultadosDatos!DC$1, ListaCuadros!DC3 &lt;&gt; 0),Configuraciones!$A$4,0)</f>
        <v>0</v>
      </c>
      <c r="DD3">
        <f>IF(AND(ListaCuadros!DD3 = ResultadosDatos!DD$1, ListaCuadros!DD3 &lt;&gt; 0),Configuraciones!$A$4,0)</f>
        <v>0</v>
      </c>
      <c r="DE3">
        <f>IF(AND(ListaCuadros!DE3 = ResultadosDatos!DE$1, ListaCuadros!DE3 &lt;&gt; 0),Configuraciones!$A$4,0)</f>
        <v>0</v>
      </c>
      <c r="DF3">
        <f>IF(AND(ListaCuadros!DF3 = ResultadosDatos!DF$1, ListaCuadros!DF3 &lt;&gt; 0),Configuraciones!$A$4,0)</f>
        <v>0</v>
      </c>
      <c r="DG3">
        <f>IF(AND(ListaCuadros!DG3 = ResultadosDatos!DG$1, ListaCuadros!DG3 &lt;&gt; 0),Configuraciones!$A$4,0)</f>
        <v>0</v>
      </c>
      <c r="DH3">
        <f>IF(AND(ListaCuadros!DH3 = ResultadosDatos!DH$1, ListaCuadros!DH3 &lt;&gt; 0),Configuraciones!$A$4,0)</f>
        <v>0</v>
      </c>
      <c r="DI3">
        <f>IF(AND(ListaCuadros!DI3 = ResultadosDatos!DI$1, ListaCuadros!DI3 &lt;&gt; 0),Configuraciones!$A$4,0)</f>
        <v>0</v>
      </c>
      <c r="DJ3">
        <f>IF(AND(ListaCuadros!DJ3 = ResultadosDatos!DJ$1, ListaCuadros!DJ3 &lt;&gt; 0),Configuraciones!$A$4,0)</f>
        <v>0</v>
      </c>
      <c r="DK3">
        <f>IF(AND(ListaCuadros!DK3 = ResultadosDatos!DK$1, ListaCuadros!DK3 &lt;&gt; 0),Configuraciones!$A$5,0)</f>
        <v>0</v>
      </c>
      <c r="DL3">
        <f>IF(AND(ListaCuadros!DL3 = ResultadosDatos!DL$1, ListaCuadros!DL3 &lt;&gt; 0),Configuraciones!$A$5,0)</f>
        <v>0</v>
      </c>
      <c r="DM3">
        <f>IF(AND(ListaCuadros!DM3 = ResultadosDatos!DM$1, ListaCuadros!DM3 &lt;&gt; 0),Configuraciones!$A$5,0)</f>
        <v>0</v>
      </c>
      <c r="DN3">
        <f>IF(AND(ListaCuadros!DN3 = ResultadosDatos!DN$1, ListaCuadros!DN3 &lt;&gt; 0),Configuraciones!$A$5,0)</f>
        <v>0</v>
      </c>
      <c r="DO3">
        <f>IF(AND(ListaCuadros!DO3 = ResultadosDatos!DO$1, ListaCuadros!DO3 &lt;&gt; 0),Configuraciones!$A$5,0)</f>
        <v>0</v>
      </c>
      <c r="DP3">
        <f>IF(AND(ListaCuadros!DP3 = ResultadosDatos!DP$1, ListaCuadros!DP3 &lt;&gt; 0),Configuraciones!$A$5,0)</f>
        <v>0</v>
      </c>
      <c r="DQ3">
        <f>IF(AND(ListaCuadros!DQ3 = ResultadosDatos!DQ$1, ListaCuadros!DQ3 &lt;&gt; 0),Configuraciones!$A$5,0)</f>
        <v>0</v>
      </c>
      <c r="DR3">
        <f>IF(AND(ListaCuadros!DR3 = ResultadosDatos!DR$1, ListaCuadros!DR3 &lt;&gt; 0),Configuraciones!$A$5,0)</f>
        <v>0</v>
      </c>
      <c r="DS3">
        <f>IF(AND(ListaCuadros!DS3 = ResultadosDatos!DS$1, ListaCuadros!DS3 &lt;&gt; 0),Configuraciones!$A$6,0)</f>
        <v>0</v>
      </c>
      <c r="DT3">
        <f>IF(AND(ListaCuadros!DT3 = ResultadosDatos!DT$1, ListaCuadros!DT3 &lt;&gt; 0),Configuraciones!$A$6,0)</f>
        <v>0</v>
      </c>
      <c r="DU3">
        <f>IF(AND(ListaCuadros!DU3 = ResultadosDatos!DU$1, ListaCuadros!DU3 &lt;&gt; 0),Configuraciones!$A$6,0)</f>
        <v>0</v>
      </c>
      <c r="DV3">
        <f>IF(AND(ListaCuadros!DV3 = ResultadosDatos!DV$1, ListaCuadros!DV3 &lt;&gt; 0),Configuraciones!$A$6,0)</f>
        <v>0</v>
      </c>
      <c r="DW3">
        <f>IF(AND(ListaCuadros!DW3 = ResultadosDatos!DW$1, ListaCuadros!DW3 &lt;&gt; 0),Configuraciones!$A$7,0)</f>
        <v>0</v>
      </c>
      <c r="DX3">
        <f>IF(AND(ListaCuadros!DX3 = ResultadosDatos!DX$1, ListaCuadros!DX3 &lt;&gt; 0),Configuraciones!$A$7,0)</f>
        <v>0</v>
      </c>
      <c r="DY3">
        <f>IF(AND(ListaCuadros!DY3 = ResultadosDatos!DY$1, ListaCuadros!DY3 &lt;&gt; 0),Configuraciones!$A$8,0)</f>
        <v>0</v>
      </c>
      <c r="DZ3">
        <f>SUM(C3:DY3)</f>
        <v>0</v>
      </c>
    </row>
  </sheetData>
  <sortState xmlns:xlrd2="http://schemas.microsoft.com/office/spreadsheetml/2017/richdata2" ref="A2:E3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NuevoCuadro</vt:lpstr>
      <vt:lpstr>NuevoCuadroDatos</vt:lpstr>
      <vt:lpstr>TablaDePosiciones</vt:lpstr>
      <vt:lpstr>Configuraciones</vt:lpstr>
      <vt:lpstr>VerCuadro</vt:lpstr>
      <vt:lpstr>EntrarResultados</vt:lpstr>
      <vt:lpstr>Resultados</vt:lpstr>
      <vt:lpstr>ResultadosDatos</vt:lpstr>
      <vt:lpstr>ListaCuadros</vt:lpstr>
      <vt:lpstr>ListaPuntos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Alban</dc:creator>
  <cp:lastModifiedBy>Andres Alban</cp:lastModifiedBy>
  <dcterms:created xsi:type="dcterms:W3CDTF">2020-01-29T21:33:08Z</dcterms:created>
  <dcterms:modified xsi:type="dcterms:W3CDTF">2021-04-11T09:49:11Z</dcterms:modified>
</cp:coreProperties>
</file>